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m Crabtree\Downloads\"/>
    </mc:Choice>
  </mc:AlternateContent>
  <xr:revisionPtr revIDLastSave="0" documentId="13_ncr:1_{7C95BC29-5EA4-4FC4-AF5D-05101C43713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5" i="1" l="1"/>
  <c r="G226" i="1"/>
  <c r="G3" i="1"/>
  <c r="G50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4" i="1"/>
  <c r="J243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4" i="1"/>
  <c r="J203" i="1"/>
  <c r="J202" i="1"/>
  <c r="J201" i="1"/>
  <c r="J200" i="1"/>
  <c r="J199" i="1"/>
  <c r="J198" i="1"/>
  <c r="J197" i="1"/>
  <c r="J196" i="1"/>
  <c r="J195" i="1"/>
  <c r="J193" i="1"/>
  <c r="J192" i="1"/>
  <c r="J191" i="1"/>
  <c r="J189" i="1"/>
  <c r="J188" i="1"/>
  <c r="J187" i="1"/>
  <c r="J186" i="1"/>
  <c r="J185" i="1"/>
  <c r="J183" i="1"/>
  <c r="J182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59" i="1"/>
  <c r="J158" i="1"/>
  <c r="J157" i="1"/>
  <c r="J156" i="1"/>
  <c r="J155" i="1"/>
  <c r="J154" i="1"/>
  <c r="J151" i="1"/>
  <c r="J150" i="1"/>
  <c r="J149" i="1"/>
  <c r="J148" i="1"/>
  <c r="J147" i="1"/>
  <c r="J146" i="1"/>
  <c r="J145" i="1"/>
  <c r="J144" i="1"/>
  <c r="J143" i="1"/>
  <c r="J141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19" i="1"/>
  <c r="J118" i="1"/>
  <c r="J117" i="1"/>
  <c r="J116" i="1"/>
  <c r="J115" i="1"/>
  <c r="J114" i="1"/>
  <c r="J113" i="1"/>
  <c r="J112" i="1"/>
  <c r="J111" i="1"/>
  <c r="J110" i="1"/>
  <c r="J109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4" i="1"/>
  <c r="J93" i="1"/>
  <c r="J92" i="1"/>
  <c r="J91" i="1"/>
  <c r="J90" i="1"/>
  <c r="J89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1" i="1"/>
  <c r="J10" i="1"/>
  <c r="J9" i="1"/>
  <c r="J8" i="1"/>
  <c r="J7" i="1"/>
  <c r="J6" i="1"/>
  <c r="J5" i="1"/>
  <c r="J4" i="1"/>
  <c r="J2" i="1"/>
</calcChain>
</file>

<file path=xl/sharedStrings.xml><?xml version="1.0" encoding="utf-8"?>
<sst xmlns="http://schemas.openxmlformats.org/spreadsheetml/2006/main" count="1560" uniqueCount="713">
  <si>
    <t>Course</t>
  </si>
  <si>
    <t>Address</t>
  </si>
  <si>
    <t>City</t>
  </si>
  <si>
    <t>Type</t>
  </si>
  <si>
    <t>Region</t>
  </si>
  <si>
    <t>Lat</t>
  </si>
  <si>
    <t>Long</t>
  </si>
  <si>
    <t>Reel</t>
  </si>
  <si>
    <t>1st Played</t>
  </si>
  <si>
    <t>Order</t>
  </si>
  <si>
    <t>Adobe Creek National Golf Course</t>
  </si>
  <si>
    <t>876 18 1/2 Road, Fruita, CO 81521</t>
  </si>
  <si>
    <t>Fruita</t>
  </si>
  <si>
    <t>Public</t>
  </si>
  <si>
    <t>West Slope</t>
  </si>
  <si>
    <t>Antler Creek Golf Course</t>
  </si>
  <si>
    <t>9650 Antler Creek Drive, Falcon, CO 80831</t>
  </si>
  <si>
    <t>Falcon</t>
  </si>
  <si>
    <t>Front Range South</t>
  </si>
  <si>
    <t>Applewood Golf Course</t>
  </si>
  <si>
    <t>14001 W. 32nd Ave, Golden, CO 80401</t>
  </si>
  <si>
    <t>Golden</t>
  </si>
  <si>
    <t>Denver Area</t>
  </si>
  <si>
    <t>Arrowhead Golf Club</t>
  </si>
  <si>
    <t>10850 W. Sundown Trail, Littleton, CO 80125</t>
  </si>
  <si>
    <t>Littleton</t>
  </si>
  <si>
    <t>Aspen Glen Club</t>
  </si>
  <si>
    <t>545 Bald Eagle Way, Carbondale, CO 81623</t>
  </si>
  <si>
    <t>Carbondale</t>
  </si>
  <si>
    <t>Private</t>
  </si>
  <si>
    <t>Mountain Area</t>
  </si>
  <si>
    <t>Aspen Golf &amp; Tennis Club</t>
  </si>
  <si>
    <t>39551 Highway 82, Aspen, CO 81611</t>
  </si>
  <si>
    <t>Aspen</t>
  </si>
  <si>
    <t>Aurora Hills Golf Course</t>
  </si>
  <si>
    <t>50 S. Peoria St, Aurora, CO 80012</t>
  </si>
  <si>
    <t>Aurora</t>
  </si>
  <si>
    <t>Ballyneal</t>
  </si>
  <si>
    <t>One Ballyneal Lane, Holyoke, CO 80734</t>
  </si>
  <si>
    <t>Holyoke</t>
  </si>
  <si>
    <t>Front Range North</t>
  </si>
  <si>
    <t>Ballyneal Short Course</t>
  </si>
  <si>
    <t>Battlement Mesa Golf Club</t>
  </si>
  <si>
    <t>3930 N. Battlement Pkwy, Parachute, CO 81635</t>
  </si>
  <si>
    <t>Parachute</t>
  </si>
  <si>
    <t>Bear Creek Golf Club</t>
  </si>
  <si>
    <t>12201 Morrison Rd, Denver, CO 80228</t>
  </si>
  <si>
    <t>Denver</t>
  </si>
  <si>
    <t>IG Reel</t>
  </si>
  <si>
    <t>Bear Dance, The Golf Club at</t>
  </si>
  <si>
    <t>6630 Bear Dance Road, Larkspur, CO 80118</t>
  </si>
  <si>
    <t>Larkspur</t>
  </si>
  <si>
    <t>Beaver Creek Golf Club</t>
  </si>
  <si>
    <t>103 Offerson Road, Avon, CO 81620</t>
  </si>
  <si>
    <t>Avon</t>
  </si>
  <si>
    <t>Bella Ridge Golf Club</t>
  </si>
  <si>
    <t>5749 County Rd 42, Johnstown, CO 80534</t>
  </si>
  <si>
    <t>Johnstown</t>
  </si>
  <si>
    <t>Bella Rosa Municipal Golf Course</t>
  </si>
  <si>
    <t>5830 Bella Rosa Parkway, Frederick, CO 80504</t>
  </si>
  <si>
    <t>Frederick</t>
  </si>
  <si>
    <t>Black Canyon Golf Course</t>
  </si>
  <si>
    <t>1350 Birch St, Montrose, CO 81401</t>
  </si>
  <si>
    <t>Montrose</t>
  </si>
  <si>
    <t>Bookcliff Country Club</t>
  </si>
  <si>
    <t>2730 G Road, Grand Junction, CO 81506</t>
  </si>
  <si>
    <t>Grand Junction</t>
  </si>
  <si>
    <t>Boomerang Golf Links</t>
  </si>
  <si>
    <t>7309 W 4th St Greeley, CO 80634</t>
  </si>
  <si>
    <t>Greeley</t>
  </si>
  <si>
    <t>Boomerang Golf Links - Short Course</t>
  </si>
  <si>
    <t>Boulder Country Club</t>
  </si>
  <si>
    <t>7350 Clubhouse Rd, Boulder, CO 80301</t>
  </si>
  <si>
    <t>Boulder</t>
  </si>
  <si>
    <t>Boulder Country Club - Par 3</t>
  </si>
  <si>
    <t>Breckenridge Golf Club - Bear</t>
  </si>
  <si>
    <t>200 Clubhouse Drive, Breckenridge, CO 80424</t>
  </si>
  <si>
    <t>Breckenridge</t>
  </si>
  <si>
    <t>Breckenridge Golf Club - Beaver</t>
  </si>
  <si>
    <t>Breckenridge Golf Club - Elk</t>
  </si>
  <si>
    <t>Bridges, The</t>
  </si>
  <si>
    <t>2500 Bridges Dr, Montrose, CO 81401</t>
  </si>
  <si>
    <t>Semi-Private</t>
  </si>
  <si>
    <t>Broadlands Golf Course</t>
  </si>
  <si>
    <t>4380 W 144th Ave, Broomfield, CO 80020</t>
  </si>
  <si>
    <t>Broomfield</t>
  </si>
  <si>
    <t>Broadmoor Golf Club East</t>
  </si>
  <si>
    <t>1 Lake Avenue, Colorado Springs, CO 80906</t>
  </si>
  <si>
    <t>Colorado Springs</t>
  </si>
  <si>
    <t>Broadmoor Golf Club West</t>
  </si>
  <si>
    <t>Broken Tee Golf Course</t>
  </si>
  <si>
    <t>2101 W Oxford Ave, Englewood, CO 80110</t>
  </si>
  <si>
    <t>Englewood</t>
  </si>
  <si>
    <t>Broken Tee Golf Course - Par 3</t>
  </si>
  <si>
    <t>Buffalo Run Golf Course</t>
  </si>
  <si>
    <t>15700 E 112th Ave, Commerce City, CO 80022 ​</t>
  </si>
  <si>
    <t>Commerce City</t>
  </si>
  <si>
    <t>Castle Pines Golf Club</t>
  </si>
  <si>
    <t>1000 Hummingbird Dr, Castle Rock, CO 80108</t>
  </si>
  <si>
    <t>Castle Rock</t>
  </si>
  <si>
    <t>Castle Pines, The Country Club at</t>
  </si>
  <si>
    <t>6400 Country Club Dr, Castle Rock, CO 80108</t>
  </si>
  <si>
    <t>Catamount Ranch &amp; Club</t>
  </si>
  <si>
    <t>33400A Catamount Drive, Steamboat Springs, CO 80487</t>
  </si>
  <si>
    <t>Steamboat Springs</t>
  </si>
  <si>
    <t>Cattail Creek Golf Course</t>
  </si>
  <si>
    <t>2116 W 29th St, Loveland, CO 80538</t>
  </si>
  <si>
    <t>Loveland</t>
  </si>
  <si>
    <t>Cedar Ridges Golf Course</t>
  </si>
  <si>
    <t xml:space="preserve">502 County Road 108, Rangely, CO 81648 </t>
  </si>
  <si>
    <t>Rangely</t>
  </si>
  <si>
    <t>Cedaredge Golf Club</t>
  </si>
  <si>
    <t>500 SE Jay Avenue, Cedaredge, CO 81413</t>
  </si>
  <si>
    <t>Cedaredge</t>
  </si>
  <si>
    <t>Challenger Golf Course</t>
  </si>
  <si>
    <t>67581 County Road T, Crestone, CO 81131</t>
  </si>
  <si>
    <t>Alamosa</t>
  </si>
  <si>
    <t>Cherokee Ridge Golf Course</t>
  </si>
  <si>
    <t>1850 Tuskegee Place, Colorado Springs, CO 80915</t>
  </si>
  <si>
    <t>Cherokee Ridge Golf Course - Par 3</t>
  </si>
  <si>
    <t>Cherry Creek Country Club</t>
  </si>
  <si>
    <t>2405 S Yosemite St, Denver, CO 80231</t>
  </si>
  <si>
    <t>Cherry Hills Country Club</t>
  </si>
  <si>
    <t>4125 S University Blvd, Cherry Hills Village, CO 80113</t>
  </si>
  <si>
    <t>Cherry Hills</t>
  </si>
  <si>
    <t>Cherry Hills Country Club - Par 3</t>
  </si>
  <si>
    <t>Cheyenne Shadows Golf Club at Fort Carson</t>
  </si>
  <si>
    <t>7800 Titus Blvd, Fort Carson, CO 80913</t>
  </si>
  <si>
    <t>Fort Carson</t>
  </si>
  <si>
    <t>Chipeta Golf Course</t>
  </si>
  <si>
    <t>222 29 Road, Grand Junction, CO 81503</t>
  </si>
  <si>
    <t>City Park Golf Course - Denver</t>
  </si>
  <si>
    <t>3181 E 23rd Ave, Denver, CO 80205</t>
  </si>
  <si>
    <t>City Park Nine Golf Course</t>
  </si>
  <si>
    <t>411 S Bryan Ave, Fort Collins, CO 80521</t>
  </si>
  <si>
    <t>Fort Collins</t>
  </si>
  <si>
    <t>ClubCorp at Black Bear Golf Club</t>
  </si>
  <si>
    <t>11400 Canterberry Pkwy, Parker, CO 80138</t>
  </si>
  <si>
    <t>Parker</t>
  </si>
  <si>
    <t>ClubCorp at Blackstone Country Club</t>
  </si>
  <si>
    <t>7777 S Country Club Pkwy, Aurora, CO 80016</t>
  </si>
  <si>
    <t>Coal Creek Golf Course</t>
  </si>
  <si>
    <t>585 W Dillon Rd, Louisville, CO 80027</t>
  </si>
  <si>
    <t>Louisville</t>
  </si>
  <si>
    <t>Cobble Creek, The Links at</t>
  </si>
  <si>
    <t>699 Cobble Dr, Montrose, CO 81401</t>
  </si>
  <si>
    <t>Collegiate Peaks Golf Course</t>
  </si>
  <si>
    <t>28775 Fairway Dr, Buena Vista, CO 81211</t>
  </si>
  <si>
    <t>Buena Vista</t>
  </si>
  <si>
    <t>Collindale Golf Course</t>
  </si>
  <si>
    <t>1441 E Horsetooth Rd, Fort Collins, CO 80525</t>
  </si>
  <si>
    <t>Colorado Golf Club</t>
  </si>
  <si>
    <t>8000 Preservation Trail, Parker, CO 80134</t>
  </si>
  <si>
    <t>Colorado Golf Club Short Course</t>
  </si>
  <si>
    <t>Colorado National Golf Club</t>
  </si>
  <si>
    <t>2700 Vista Pkwy, Erie, CO 80516</t>
  </si>
  <si>
    <t>Erie</t>
  </si>
  <si>
    <t>Colorado Springs Country Club</t>
  </si>
  <si>
    <t>3333 Templeton Gap Rd, Colorado Springs, CO 80907</t>
  </si>
  <si>
    <t>Columbine Country Club</t>
  </si>
  <si>
    <t>17 Fairway Ln, Littleton, CO 80123</t>
  </si>
  <si>
    <t>Columbine Country Club - Par 3</t>
  </si>
  <si>
    <t>CommonGround Golf Course</t>
  </si>
  <si>
    <t>10300 E Golfers Way, Aurora, CO 80010</t>
  </si>
  <si>
    <t>CommonGround Golf Course - Par 3</t>
  </si>
  <si>
    <t>Conquistador Golf Course</t>
  </si>
  <si>
    <t>2018 N Dolores Rd, Cortez, CO 81321</t>
  </si>
  <si>
    <t>Cortez</t>
  </si>
  <si>
    <t>Copper Creek Golf Club</t>
  </si>
  <si>
    <t>104 Wheeler Pl, Copper Mountain, CO 80443</t>
  </si>
  <si>
    <t>Copper Mountain</t>
  </si>
  <si>
    <t>Cordillera, Club at - Mountain Course</t>
  </si>
  <si>
    <t>655 Clubhouse Dr, Edwards, CO 81632</t>
  </si>
  <si>
    <t>Edwards</t>
  </si>
  <si>
    <t>Cordillera, Club at - Short Course</t>
  </si>
  <si>
    <t>100 Kensington Dr, Edwards, CO 81632</t>
  </si>
  <si>
    <t>Cordillera, Club at - Summt Course</t>
  </si>
  <si>
    <t>190 Gore Trail, Edwards, CO 81632</t>
  </si>
  <si>
    <t>Cordillera, Club at - Valley Course</t>
  </si>
  <si>
    <t>Cornterstone Club</t>
  </si>
  <si>
    <t>Unnamed Rd, Montrose, CO 81403</t>
  </si>
  <si>
    <t>Cottonwood Links Golf Club</t>
  </si>
  <si>
    <t>1 Cottonwood Ln, Fowler, CO 81039</t>
  </si>
  <si>
    <t>Fowler</t>
  </si>
  <si>
    <t>Country Club at Woodmoor</t>
  </si>
  <si>
    <t>18945 Pebble Beach Way, Monument, CO 80132</t>
  </si>
  <si>
    <t>Monument</t>
  </si>
  <si>
    <t>Country Club of Colorado</t>
  </si>
  <si>
    <t>125 Clubhouse Dr, Colorado Springs, CO 80906</t>
  </si>
  <si>
    <t>Country Club of the Rockies</t>
  </si>
  <si>
    <t>676 Sawatch Dr, Edwards, CO 81632</t>
  </si>
  <si>
    <t>Coyote Creek Golf Course</t>
  </si>
  <si>
    <t>222 Clubhouse Dr, Fort Lupton, CO 80621</t>
  </si>
  <si>
    <t>Fort Lupton</t>
  </si>
  <si>
    <t>Crested Butte, The Club at</t>
  </si>
  <si>
    <t>385 Country Club Dr, Crested Butte, CO 81224</t>
  </si>
  <si>
    <t>Crested Butte</t>
  </si>
  <si>
    <t>Dalton Ranch Golf Club</t>
  </si>
  <si>
    <t>589 County Rd 252, Durango, CO 81301</t>
  </si>
  <si>
    <t>Durango</t>
  </si>
  <si>
    <t>Denver Country Club</t>
  </si>
  <si>
    <t>1700 E 1st Ave, Denver, CO 80218</t>
  </si>
  <si>
    <t>Desert Hawk at Pueblo West</t>
  </si>
  <si>
    <t>251 S McCulloch Blvd, Pueblo West, CO 81007</t>
  </si>
  <si>
    <t>Pueblo West</t>
  </si>
  <si>
    <t>Devil’s Thumb Golf Club</t>
  </si>
  <si>
    <t>9900 Devils Thumb Rd, Delta, CO 81416</t>
  </si>
  <si>
    <t>Delta</t>
  </si>
  <si>
    <t>Divide Ranch &amp; Club</t>
  </si>
  <si>
    <t>151 Divide Ranch Cir, Ridgway, CO 81432</t>
  </si>
  <si>
    <t>Ridgway</t>
  </si>
  <si>
    <t>Dos Rios Golf Club</t>
  </si>
  <si>
    <t>501 Camino Del Rio, Gunnison, CO 81230</t>
  </si>
  <si>
    <t>Gunnison</t>
  </si>
  <si>
    <t>Eads Golf Course</t>
  </si>
  <si>
    <t>14999 Golf Course Rd, Eads, CO 81036</t>
  </si>
  <si>
    <t>Eads</t>
  </si>
  <si>
    <t>Eagle Ranch Golf Course</t>
  </si>
  <si>
    <t>0050 Lime Park Dr, Eagle, CO 81631</t>
  </si>
  <si>
    <t>Eagle</t>
  </si>
  <si>
    <t>Eagle Springs Golf Club</t>
  </si>
  <si>
    <t>28521 US-6, Wolcott, CO 81655</t>
  </si>
  <si>
    <t>Wolcott</t>
  </si>
  <si>
    <t>Eagle Trace Golf Club</t>
  </si>
  <si>
    <t>1200 Clubhouse Dr, Broomfield, CO 80020</t>
  </si>
  <si>
    <t>Eagle Vail Golf Club</t>
  </si>
  <si>
    <t>459 Eagle Drive, Avon, CO 81620</t>
  </si>
  <si>
    <t>Eaton Country Club</t>
  </si>
  <si>
    <t>37661 County Road 39, Eaton, CO 80615</t>
  </si>
  <si>
    <t>Eaton</t>
  </si>
  <si>
    <t>Eisenhower Golf Club - Blue</t>
  </si>
  <si>
    <t>Bldg. 3170, Golf Course Road, USAF Academy, CO 80840</t>
  </si>
  <si>
    <t>Eisenhower Golf Club - Silver</t>
  </si>
  <si>
    <t>Elmwood Golf Course</t>
  </si>
  <si>
    <t>3900 Thatcher Ave, Pueblo, CO 81005</t>
  </si>
  <si>
    <t>Pueblo</t>
  </si>
  <si>
    <t>Emerald Greens Golf Club</t>
  </si>
  <si>
    <t>597 S Clinton St, Denver, CO 80247</t>
  </si>
  <si>
    <t>Estes Park Golf Course</t>
  </si>
  <si>
    <t>1480 Golf Course Road, Estes Park, CO 80517</t>
  </si>
  <si>
    <t>Estes Park</t>
  </si>
  <si>
    <t>Evergreen Golf Course</t>
  </si>
  <si>
    <t>29614 Upper Bear Creek Rd, Evergreen, CO 80439</t>
  </si>
  <si>
    <t>Evergreen</t>
  </si>
  <si>
    <t>F &amp; H Golf Course</t>
  </si>
  <si>
    <t>43355 County Rd 30 Fleming CO 80728</t>
  </si>
  <si>
    <t>Fleming</t>
  </si>
  <si>
    <t>Flatirons Golf Course</t>
  </si>
  <si>
    <t>5706 Arapahoe Ave, Boulder, CO 80303</t>
  </si>
  <si>
    <t>Flying Horse, The Club at</t>
  </si>
  <si>
    <t>1880 Weiskopf Point, Colorado Springs, CO 80921</t>
  </si>
  <si>
    <t>Flying Horse, The Club at - North</t>
  </si>
  <si>
    <t>15268 Allen Ranch Road, Colorado Springs, CO 80908</t>
  </si>
  <si>
    <t>Foothils Championship 18</t>
  </si>
  <si>
    <t>3901 S Carr St, Denver, CO 80235</t>
  </si>
  <si>
    <t>Foothils Executive 9</t>
  </si>
  <si>
    <t>Foothils Par 3</t>
  </si>
  <si>
    <t>Fort Collins Country Club</t>
  </si>
  <si>
    <t>1920 Country Club Rd, Fort Collins, CO 80524</t>
  </si>
  <si>
    <t>Fossil Trace Golf Club</t>
  </si>
  <si>
    <t>3050 Illinois St, Golden, CO 80401</t>
  </si>
  <si>
    <t>Four Mile Ranch Golf Club</t>
  </si>
  <si>
    <t>3501 Telegraph Trail, Cañon City, CO 81212</t>
  </si>
  <si>
    <t>Canon City</t>
  </si>
  <si>
    <t>Fox Acres Country Club</t>
  </si>
  <si>
    <t>1700 County Road 67J, Red Feather Lakes, CO 80545</t>
  </si>
  <si>
    <t>Red Feather Lakes</t>
  </si>
  <si>
    <t>Fox Hill Club, The</t>
  </si>
  <si>
    <t>1400 CO-119, Longmont, CO 80504</t>
  </si>
  <si>
    <t>Longmont</t>
  </si>
  <si>
    <t>Fox Hollow Golf Course - Canyon</t>
  </si>
  <si>
    <t>13410 W. Morrison Rd, Lakewood, CO 80228</t>
  </si>
  <si>
    <t>Lakewood</t>
  </si>
  <si>
    <t>Fox Hollow Golf Course - Links</t>
  </si>
  <si>
    <t>Fox Hollow Golf Course - Meadow</t>
  </si>
  <si>
    <t>Frost Creek</t>
  </si>
  <si>
    <t>1094 Frost Creek Drive, Eagle, CO 81631</t>
  </si>
  <si>
    <t>Garfield County Golf Course</t>
  </si>
  <si>
    <t>3004 Highway 325, Rifle, CO 81650</t>
  </si>
  <si>
    <t>Rifle</t>
  </si>
  <si>
    <t>Glacier Club, The</t>
  </si>
  <si>
    <t>600 Glacier Club Drive, Durango, CO 81301</t>
  </si>
  <si>
    <t>Glenmoor Country Club</t>
  </si>
  <si>
    <t>110 Glenmoor Drive, Cherry Hills Village, CO 80113</t>
  </si>
  <si>
    <t>Cherry Hills Village</t>
  </si>
  <si>
    <t xml:space="preserve">Glenwood Springs Golf Club
</t>
  </si>
  <si>
    <t>193 Sunny Acres Rd, Glenwood Springs, CO 81601</t>
  </si>
  <si>
    <t>Glenwood Springs</t>
  </si>
  <si>
    <t>Granby Ranch</t>
  </si>
  <si>
    <t>2579 County Road 894, Granby, CO 80446</t>
  </si>
  <si>
    <t>Granby</t>
  </si>
  <si>
    <t>Grand Elk Golf Club</t>
  </si>
  <si>
    <t>1300 Ten Mile Drive, Granby, CO 80446</t>
  </si>
  <si>
    <t>Grand Lake Golf Course</t>
  </si>
  <si>
    <t>1415 County Road 48, Grand Lake, CO 80447</t>
  </si>
  <si>
    <t>Grand Lake</t>
  </si>
  <si>
    <t>Grand View Golf Course</t>
  </si>
  <si>
    <t>Grand View Cir, Mead, CO 80542</t>
  </si>
  <si>
    <t>Mead</t>
  </si>
  <si>
    <t>Grandote Peaks Golf Club</t>
  </si>
  <si>
    <t>5540 CO-12, La Veta, CO 81055</t>
  </si>
  <si>
    <t>La Veta</t>
  </si>
  <si>
    <t>Greeley Country Club</t>
  </si>
  <si>
    <t>4500 W 10th St, Greeley, CO 80634</t>
  </si>
  <si>
    <t>Green Valley Ranch Golf Club</t>
  </si>
  <si>
    <t>4900 Himalaya Road, Denver, CO 80249</t>
  </si>
  <si>
    <t>Green Valley Ranch Golf Club - Par 3</t>
  </si>
  <si>
    <t>Greenway Park Golf Course</t>
  </si>
  <si>
    <t>110 Greenway Drive, Broomfield, CO 80020</t>
  </si>
  <si>
    <t>Greg Mastriona Golf Courses at Hyland Hills - Blue</t>
  </si>
  <si>
    <t>9650 Sheridan Boulevard, Westminster, CO 80031</t>
  </si>
  <si>
    <t>Westminster</t>
  </si>
  <si>
    <t>Greg Mastriona Golf Courses at Hyland Hills - Gold</t>
  </si>
  <si>
    <t>Gypsum Creek Golf Course</t>
  </si>
  <si>
    <t>530 Cotton Ranch Drive, Gypsum, CO 81637</t>
  </si>
  <si>
    <t>Gypsum</t>
  </si>
  <si>
    <t>Harmony Club</t>
  </si>
  <si>
    <t>6432 Grand Tree Blvd, Timnath, CO 80547</t>
  </si>
  <si>
    <t>Timnath</t>
  </si>
  <si>
    <t>Harvard Gulch Golf Course</t>
  </si>
  <si>
    <t>660 E. Iliff Ave, Denver, CO 80210</t>
  </si>
  <si>
    <t>Haymaker Golf Course</t>
  </si>
  <si>
    <t>34855 US-40 East, Steamboat Springs, CO 80487</t>
  </si>
  <si>
    <t>Heather Gardens Golf Course</t>
  </si>
  <si>
    <t>2888 S Heather Gardens Way, Aurora, CO 80014</t>
  </si>
  <si>
    <t>Heather Ridge, The Golf Club at</t>
  </si>
  <si>
    <t>13521 E Iliff Ave, Aurora, CO 80014</t>
  </si>
  <si>
    <t>Hemingway Hunting &amp; Fishing Resort</t>
  </si>
  <si>
    <t>Unnamed Road, Orchard, CO 80649</t>
  </si>
  <si>
    <t>Orchard</t>
  </si>
  <si>
    <t>Heritage Eagle Bend Golf Club</t>
  </si>
  <si>
    <t>23155 E Heritage Parkway, Aurora, CO 80016</t>
  </si>
  <si>
    <t>Highland Meadows Golf Course</t>
  </si>
  <si>
    <t>6300 Highland Meadows Parkway, Windsor, CO 80550</t>
  </si>
  <si>
    <t>Windsor</t>
  </si>
  <si>
    <t>Highlands Hills Golf Course</t>
  </si>
  <si>
    <t>2200 Clubhouse Drive, Greeley, CO 80634</t>
  </si>
  <si>
    <t>Highlands Ranch Golf Club</t>
  </si>
  <si>
    <t>9000 Creekside Way, Highlands Ranch, CO 80129</t>
  </si>
  <si>
    <t>Highlands Ranch</t>
  </si>
  <si>
    <t>Hillcrest Golf Club</t>
  </si>
  <si>
    <t>2300 Rim Drive, Durango, CO 81301</t>
  </si>
  <si>
    <t>Hiwan Golf Club</t>
  </si>
  <si>
    <t>30671 Clubhouse Lane, Evergreen, CO 80439</t>
  </si>
  <si>
    <t>Holydot Golf Course</t>
  </si>
  <si>
    <t>55 North Parkway Drive, Colorado City, CO 81019</t>
  </si>
  <si>
    <t>Colorado City</t>
  </si>
  <si>
    <t>Holyoke Golf Club</t>
  </si>
  <si>
    <t>415 E Carnahan St, Holyoke, CO 80734</t>
  </si>
  <si>
    <t>Homestead Golf Course</t>
  </si>
  <si>
    <t>11500 W Hampden Ave, Lakewood, CO 80227</t>
  </si>
  <si>
    <t>Hugo Golf Club</t>
  </si>
  <si>
    <t>44161 County Highway 109, Hugo, CO 80821</t>
  </si>
  <si>
    <t>Hugo</t>
  </si>
  <si>
    <t>Hunter’s Run Golf Course</t>
  </si>
  <si>
    <t>8400 State Highway 172, Ignacio, CO 81137</t>
  </si>
  <si>
    <t>Ignacio</t>
  </si>
  <si>
    <t>Hyland Hills Sotuh Par 3</t>
  </si>
  <si>
    <t>Indian Hills Golf Course</t>
  </si>
  <si>
    <t>5294 County Rd 39, Yuma, CO 80759</t>
  </si>
  <si>
    <t>Yuma</t>
  </si>
  <si>
    <t>Indian Peaks Golf Course</t>
  </si>
  <si>
    <t>2300 Indian Peaks Trail, Lafayette, CO 80026</t>
  </si>
  <si>
    <t>Lafayette</t>
  </si>
  <si>
    <t>Indian Tree Golf Club</t>
  </si>
  <si>
    <t>7555 Wadsworth Blvd, Arvada, CO 80003</t>
  </si>
  <si>
    <t>Arvada</t>
  </si>
  <si>
    <t>Indian Tree Golf Club - Par 3</t>
  </si>
  <si>
    <t>Inverness Hotel Golf Club</t>
  </si>
  <si>
    <t>200 Inverness Dr W, Englewood, CO 80112</t>
  </si>
  <si>
    <t>Ironbridge Golf Club</t>
  </si>
  <si>
    <t>430 Iron Bridge Rd, Glenwood Springs, CO 81601</t>
  </si>
  <si>
    <t>Kennedy Golf Course - Babe</t>
  </si>
  <si>
    <t>10500 E Hampden Ave, Denver, CO 80014</t>
  </si>
  <si>
    <t>Kennedy Golf Course - Creek</t>
  </si>
  <si>
    <t>Kennedy Golf Course - Lind</t>
  </si>
  <si>
    <t>Kennedy Golf Course - Par 3</t>
  </si>
  <si>
    <t>Kennedy Golf Course - West</t>
  </si>
  <si>
    <t>Keystone Ranch Golf Course</t>
  </si>
  <si>
    <t>1239 Keystone Ranch Rd, Keystone, CO 80435</t>
  </si>
  <si>
    <t>Keystone</t>
  </si>
  <si>
    <t>Resort</t>
  </si>
  <si>
    <t>King's Deer Golf Club</t>
  </si>
  <si>
    <t>19255 Royal Troon Dr, Monument, CO 80132</t>
  </si>
  <si>
    <t>Kissing Camels at Garden of the Gods Club - North</t>
  </si>
  <si>
    <t>4500 Kissing Camels Dr, Colorado Springs, CO 80904</t>
  </si>
  <si>
    <t>Kissing Camels at Garden of the Gods Club - South</t>
  </si>
  <si>
    <t>Kissing Camels at Garden of the Gods Club - West</t>
  </si>
  <si>
    <t>La Junta Golf Club</t>
  </si>
  <si>
    <t>27696 Harris Rd, La Junta, CO 81050</t>
  </si>
  <si>
    <t>La Junta</t>
  </si>
  <si>
    <t>Lake Arbor Golf Club</t>
  </si>
  <si>
    <t>8600 Wadsworth Blvd, Arvada, CO 80003</t>
  </si>
  <si>
    <t>Lake Estes Executive 9 Golf Course</t>
  </si>
  <si>
    <t>690 Big Thompson Ave, Estes Park, CO 80517</t>
  </si>
  <si>
    <t>Lake Valley Golf Club</t>
  </si>
  <si>
    <t>4400 Lake Valley Dr, Niwot, CO 80503</t>
  </si>
  <si>
    <t>Niwot</t>
  </si>
  <si>
    <t>Lakewood Country Club</t>
  </si>
  <si>
    <t>6800 W 10th Ave, Lakewood, CO 80214</t>
  </si>
  <si>
    <t>Lakota Canyon Ranch Golf Club</t>
  </si>
  <si>
    <t>1000 Clubhouse Dr, New Castle, CO 81647</t>
  </si>
  <si>
    <t>New Castle</t>
  </si>
  <si>
    <t>Las Animas Golf Course</t>
  </si>
  <si>
    <t>220 Country Club Dr, Las Animas, CO 81054</t>
  </si>
  <si>
    <t>Las Animas</t>
  </si>
  <si>
    <t>Legacy Ridge Golf Course</t>
  </si>
  <si>
    <t>10801 Legacy Ridge Pkwy, Westminster, CO 80031</t>
  </si>
  <si>
    <t>Lincoln Park Golf Course</t>
  </si>
  <si>
    <t>800 Mantlo Cir, Grand Junction, CO 81501</t>
  </si>
  <si>
    <t>Links Golf Course, The</t>
  </si>
  <si>
    <t>5815 E Gleneagles Village Pkwy, Highlands Ranch, CO 80130</t>
  </si>
  <si>
    <t>Littleton Golf &amp; Tennis Club</t>
  </si>
  <si>
    <t>5800 S Federal Blvd, Littleton, CO 80123</t>
  </si>
  <si>
    <t>Lone Tree Golf Club</t>
  </si>
  <si>
    <t>9808 Sunningdale Blvd, Lone Tree, CO 80124</t>
  </si>
  <si>
    <t>Lone Tree</t>
  </si>
  <si>
    <t>Mad Russian Golf Course, The</t>
  </si>
  <si>
    <t>2100 Country Club Pkwy, Milliken, CO 80543</t>
  </si>
  <si>
    <t>Milliken</t>
  </si>
  <si>
    <t>Mariana Butte Golf Course</t>
  </si>
  <si>
    <t>701 Clubhouse Dr, Loveland, CO 80537</t>
  </si>
  <si>
    <t>Maroon Creek Club</t>
  </si>
  <si>
    <t>10 Club Cir, Aspen, CO 81611</t>
  </si>
  <si>
    <t>Meadow Hills Golf Course</t>
  </si>
  <si>
    <t>3609 S Dawson St, Aurora, CO 80014</t>
  </si>
  <si>
    <t>Meadows Golf Club, The</t>
  </si>
  <si>
    <t>7007 Meadows Golf Club Dr, Littleton, CO 80127</t>
  </si>
  <si>
    <t>Meeker Golf Course</t>
  </si>
  <si>
    <t>903 County Rd 13, Meeker, CO 81641</t>
  </si>
  <si>
    <t>Meeker</t>
  </si>
  <si>
    <t>Meridian Golf Club</t>
  </si>
  <si>
    <t>9742 S Meridian Blvd, Englewood, CO 80112</t>
  </si>
  <si>
    <t>Monte Vista Country Club</t>
  </si>
  <si>
    <t>101 Country Club Dr, Monte Vista, CO 81144</t>
  </si>
  <si>
    <t>Monte Vista</t>
  </si>
  <si>
    <t xml:space="preserve">Mossland Memorial
</t>
  </si>
  <si>
    <t>16820 Co Rd 5, Flagler, CO 80815</t>
  </si>
  <si>
    <t>Flagler</t>
  </si>
  <si>
    <t>Mount Massive Golf Course</t>
  </si>
  <si>
    <t>259 County Road 5, Leadville, CO 80461</t>
  </si>
  <si>
    <t>Leadville</t>
  </si>
  <si>
    <t>Mountain Meadows Golf Club</t>
  </si>
  <si>
    <t>1 Mile W Dowdy Lake Rd, Red Feather Lakes, CO 80545</t>
  </si>
  <si>
    <t>South Fork</t>
  </si>
  <si>
    <t>Mountain Vista Greens Golf Course</t>
  </si>
  <si>
    <t>2808 NE Frontage Rd, Fort Collins, CO 80524</t>
  </si>
  <si>
    <t>Murphy Creek Golf Course</t>
  </si>
  <si>
    <t>1700 S Old Tom Morris Rd, Aurora, CO 80018</t>
  </si>
  <si>
    <t>Northeastern 18</t>
  </si>
  <si>
    <t>17408 CO-14, Sterling, CO 80751</t>
  </si>
  <si>
    <t>Sterling</t>
  </si>
  <si>
    <t>Olde Course at Loveland, The</t>
  </si>
  <si>
    <t>2115 W 29th St, Loveland, CO 80538</t>
  </si>
  <si>
    <t>Omni Interlocken Resort Golf Club - Eldorado</t>
  </si>
  <si>
    <t>800 Eldorado Blvd, Broomfield, CO 80021</t>
  </si>
  <si>
    <t>Omni Interlocken Resort Golf Club - Sunshine</t>
  </si>
  <si>
    <t>Omni Interlocken Resort Golf Club - Vista</t>
  </si>
  <si>
    <t>Overland Park Golf Course</t>
  </si>
  <si>
    <t>1801 S Huron St, Denver, CO 80223</t>
  </si>
  <si>
    <t>Pagosa Springs Golf Course</t>
  </si>
  <si>
    <t>1 Pines Club Pl, Pagosa Springs, CO 81147</t>
  </si>
  <si>
    <t>Pagosa Springs</t>
  </si>
  <si>
    <t>Patty Jewett Golf Course - Peak</t>
  </si>
  <si>
    <t>900 E Espanola St, Colorado Springs, CO 80907</t>
  </si>
  <si>
    <t>Patty Jewett Golf Course - Plains</t>
  </si>
  <si>
    <t>Patty Jewett Golf Course - Prairie</t>
  </si>
  <si>
    <t>Pelican Lakes Golf &amp; Country Club</t>
  </si>
  <si>
    <t>1620 Pelican Lakes Point, Windsor, CO 80550</t>
  </si>
  <si>
    <t>Pelican Lakes Golf &amp; Country Club - Falls</t>
  </si>
  <si>
    <t>Perry Park Country Club</t>
  </si>
  <si>
    <t>7047 Perry Park Blvd, Larkspur, CO 80118</t>
  </si>
  <si>
    <t xml:space="preserve">Petteys Park Golf Course </t>
  </si>
  <si>
    <t>2301 West Mill St, Brush, CO 80723</t>
  </si>
  <si>
    <t>Brush</t>
  </si>
  <si>
    <t>Pheasant Run Golf Course</t>
  </si>
  <si>
    <t>14971 E Pheasant Run Pkwy, Aurora, CO 80015</t>
  </si>
  <si>
    <t>Fort Morgan</t>
  </si>
  <si>
    <t>Pine Creek Golf Club</t>
  </si>
  <si>
    <t>9850 Divot Trail, Colorado Springs, CO 80920</t>
  </si>
  <si>
    <t>Pinehurst Country Club</t>
  </si>
  <si>
    <t>6255 W Quincy Ave, Denver, CO 80235</t>
  </si>
  <si>
    <t>Pinehurst Country Club Executive 9</t>
  </si>
  <si>
    <t>Pinery Country Club, The - Lake</t>
  </si>
  <si>
    <t>6900 N Pinery Pkwy, Parker, CO 80134</t>
  </si>
  <si>
    <t>Pinery Country Club, The - Mountain</t>
  </si>
  <si>
    <t>Pinery Country Club, The - Valley</t>
  </si>
  <si>
    <t xml:space="preserve">Plainsman Golf Club
</t>
  </si>
  <si>
    <t>9785 County Rd 4, Kirk, CO 80824</t>
  </si>
  <si>
    <t>Kirk</t>
  </si>
  <si>
    <t>Plum Creek Golf Club</t>
  </si>
  <si>
    <t>331 Players Club Dr, Castle Rock, CO 80104</t>
  </si>
  <si>
    <t>Pole Creek Golf Club - Meadow</t>
  </si>
  <si>
    <t>6827 County Road 51, Tabernash, CO 80478</t>
  </si>
  <si>
    <t>Tabernash</t>
  </si>
  <si>
    <t>Pole Creek Golf Club - Ranch</t>
  </si>
  <si>
    <t>Pole Creek Golf Club - Ridge</t>
  </si>
  <si>
    <t>Pradera, The Club at</t>
  </si>
  <si>
    <t>5225 Raintree Dr, Parker, CO 80134</t>
  </si>
  <si>
    <t>Prairie Pines Golf Club</t>
  </si>
  <si>
    <t>48680 Snead Dr, Burlington, CO 80807</t>
  </si>
  <si>
    <t>Burlington</t>
  </si>
  <si>
    <t>Ptarmigan Country Club</t>
  </si>
  <si>
    <t>5416 Vardon Way, Fort Collins, CO 80528</t>
  </si>
  <si>
    <t>Pueblo Country Club</t>
  </si>
  <si>
    <t>3200 8th Ave, Pueblo, CO 81008</t>
  </si>
  <si>
    <t>Quail Dunes Golf Course</t>
  </si>
  <si>
    <t>17586 County Road T5, Fort Morgan, CO 80701</t>
  </si>
  <si>
    <t>Quint Valley Golf Club</t>
  </si>
  <si>
    <t>280 S County Road 173, Byers, CO 80103</t>
  </si>
  <si>
    <t>Byers</t>
  </si>
  <si>
    <t>Raccoon Creek Golf Course</t>
  </si>
  <si>
    <t>7301 W Bowles Ave, Littleton, CO 80123</t>
  </si>
  <si>
    <t>RainDance National</t>
  </si>
  <si>
    <t>1775 RainDance National Dr, Windsor, CO 80550</t>
  </si>
  <si>
    <t>Ranch at Roaring Fork Golf Course</t>
  </si>
  <si>
    <t>14913 Hwy 82, Carbondale, CO 81623</t>
  </si>
  <si>
    <t>Ranch Country Club, The</t>
  </si>
  <si>
    <t>11887 Tejon St, Westminster, CO 80234</t>
  </si>
  <si>
    <t>Raven Golf Club at Three Peaks</t>
  </si>
  <si>
    <t>2929 Golden Eagle Rd, Silverthorne, CO 80498</t>
  </si>
  <si>
    <t>Silverthorne</t>
  </si>
  <si>
    <t>Ravenna, The Club at</t>
  </si>
  <si>
    <t>8285 Dante Dr, Littleton, CO 80125</t>
  </si>
  <si>
    <t>Red Hawk Ridge Golf Course</t>
  </si>
  <si>
    <t>2156 Red Hawk Ridge Dr, Castle Rock, CO 80109</t>
  </si>
  <si>
    <t>Red Rocks Country Club</t>
  </si>
  <si>
    <t>16235 W Belleview Ave, Morrison, CO 80465</t>
  </si>
  <si>
    <t>Morrison</t>
  </si>
  <si>
    <t>Redlands Mesa, The Golf Club at</t>
  </si>
  <si>
    <t>2325 W Ridges Blvd, Grand Junction, CO 81507</t>
  </si>
  <si>
    <t>Ridge at Castle Pines North, The</t>
  </si>
  <si>
    <t>1414 Castle Pines Pkwy, Castle Rock, CO 80108</t>
  </si>
  <si>
    <t>Castle Pines</t>
  </si>
  <si>
    <t>Rifle Creek Golf Course</t>
  </si>
  <si>
    <t>Rio Grande Club</t>
  </si>
  <si>
    <t>0285 Rio Grande Club Trail, South Fork, CO 81154</t>
  </si>
  <si>
    <t>River Course at Keystone, The</t>
  </si>
  <si>
    <t>155 River Course Dr, Keystone, CO 80435</t>
  </si>
  <si>
    <t>River Valley Ranch Golf Club</t>
  </si>
  <si>
    <t>303 River Valley Ranch Rd, Carbondale, CO 81623</t>
  </si>
  <si>
    <t>Riverdale Dunes Golf Course</t>
  </si>
  <si>
    <t>13300 Riverdale Rd, Brighton, CO 80602</t>
  </si>
  <si>
    <t>Brighton</t>
  </si>
  <si>
    <t>Riverdale The Knolls</t>
  </si>
  <si>
    <t>Riverview Golf Course</t>
  </si>
  <si>
    <t>22426 County Road 17, Sterling, CO 80751</t>
  </si>
  <si>
    <t>Roaring Fork Club</t>
  </si>
  <si>
    <t>100 Arbaney Ranch Rd, Basalt, CO 81621</t>
  </si>
  <si>
    <t>Basalt</t>
  </si>
  <si>
    <t>Rocky Ford Country Club</t>
  </si>
  <si>
    <t>91 Play Park Hill Dr, Rocky Ford, CO 81067</t>
  </si>
  <si>
    <t>Rocky Ford</t>
  </si>
  <si>
    <t>Rodeo Dunes - Course #1</t>
  </si>
  <si>
    <t>34587 I-76 Frontage Rd, Roggen, CO 80652</t>
  </si>
  <si>
    <t>Roggen</t>
  </si>
  <si>
    <t>Rodeo Dunes - Course #2</t>
  </si>
  <si>
    <t>Rolling Hills, The Club at</t>
  </si>
  <si>
    <t>15707 W 26th Ave, Golden, CO 80401</t>
  </si>
  <si>
    <t>Rollingstone Ranch Golf Club</t>
  </si>
  <si>
    <t>1230 Steamboat Blvd, Steamboat Springs, CO 80487</t>
  </si>
  <si>
    <t>Saddle Rock Golf Course</t>
  </si>
  <si>
    <t>21705 E Arapahoe Rd, Aurora, CO 80016</t>
  </si>
  <si>
    <t>Saddleback Golf Course</t>
  </si>
  <si>
    <t>8631 Frontier St, Firestone, CO 80504</t>
  </si>
  <si>
    <t>Firestone</t>
  </si>
  <si>
    <t>Salida Golf Club</t>
  </si>
  <si>
    <t>404 Grant St, Salida, CO 81201</t>
  </si>
  <si>
    <t>Salida</t>
  </si>
  <si>
    <t>Sanctuary</t>
  </si>
  <si>
    <t>7549 Daniels Park Rd, Sedalia, CO 80135</t>
  </si>
  <si>
    <t>Sedalia</t>
  </si>
  <si>
    <t>Sand Creek Golf Course</t>
  </si>
  <si>
    <t>6865 Galley Rd, Colorado Springs, CO 80915</t>
  </si>
  <si>
    <t>Sedgwick County Golf Course</t>
  </si>
  <si>
    <t>State Highway 11, Julesburg, CO 80737</t>
  </si>
  <si>
    <t>Julesburg</t>
  </si>
  <si>
    <t>Shining Mountain Golf Club</t>
  </si>
  <si>
    <t>100 Shining Mountain Ln, Woodland Park, CO 80863</t>
  </si>
  <si>
    <t>Woodland Park</t>
  </si>
  <si>
    <t>Silver Spruce Golf Course</t>
  </si>
  <si>
    <t>401 Glasgow Ave, Bldg 1054, Colorado Springs, CO 80914</t>
  </si>
  <si>
    <t>Military (Peterson AFB)</t>
  </si>
  <si>
    <t>Sky Ranch Golf Course</t>
  </si>
  <si>
    <t>Smoky River Golf Club</t>
  </si>
  <si>
    <t>475 N 2nd St E, Cheyenne Wells, CO 80810</t>
  </si>
  <si>
    <t>Cheyenne Wells</t>
  </si>
  <si>
    <t>Snowmass Club</t>
  </si>
  <si>
    <t>239 Snowmass Club Cir, Snowmass Village, CO 81615</t>
  </si>
  <si>
    <t>Snowmass Village</t>
  </si>
  <si>
    <t>Sonnenalp Club</t>
  </si>
  <si>
    <t>1265 Berry Creek Rd, Edwards, CO 81632</t>
  </si>
  <si>
    <t>South Forty Golf Course</t>
  </si>
  <si>
    <t>25500 Co Rd H, Cortez, CO 81321</t>
  </si>
  <si>
    <t>South Suburban Family Sports Center</t>
  </si>
  <si>
    <t xml:space="preserve"> 6901 S Peoria St, Dove Valley, CO 80112</t>
  </si>
  <si>
    <t>Dove Valley</t>
  </si>
  <si>
    <t>South Suburban Golf Course - Par 3</t>
  </si>
  <si>
    <t>7900 S Colorado Blvd, Centennial, CO 80122</t>
  </si>
  <si>
    <t>Centennial</t>
  </si>
  <si>
    <t>South Suburban Golf Course - Regulation</t>
  </si>
  <si>
    <t>Southglenn Country Club</t>
  </si>
  <si>
    <t>1489 E Easter Ave, Centennial, CO 80122</t>
  </si>
  <si>
    <t>SouthRidge Golf Club</t>
  </si>
  <si>
    <t>5750 S Lemay Ave, Fort Collins, CO 80525</t>
  </si>
  <si>
    <t>Spreading Antlers Golf Club</t>
  </si>
  <si>
    <t>28157 US Highway 287, Lamar, CO 81052</t>
  </si>
  <si>
    <t>Lamar</t>
  </si>
  <si>
    <t>Spring Valley Golf Course</t>
  </si>
  <si>
    <t>42350 County Rd 17/21, Elizabeth, CO 80107</t>
  </si>
  <si>
    <t>Elizabeth</t>
  </si>
  <si>
    <t>Springfield Municipal Golf Course</t>
  </si>
  <si>
    <t>24933 Hwy 160, Springfield, CO 81073</t>
  </si>
  <si>
    <t>Springfield</t>
  </si>
  <si>
    <t>Springhill Golf Course</t>
  </si>
  <si>
    <t>800 Telluride St, Aurora, CO 80011</t>
  </si>
  <si>
    <t>Steamboat Golf Club</t>
  </si>
  <si>
    <t>26815 W US Highway 40, Steamboat Springs, CO 80487</t>
  </si>
  <si>
    <t xml:space="preserve">Stoney Creek Golf Course
</t>
  </si>
  <si>
    <t>13939 W 96th Ave, Arvada, CO 80005</t>
  </si>
  <si>
    <t>Stratton Golf Course</t>
  </si>
  <si>
    <t>First &amp; Wyoming, Stratton, CO 80836</t>
  </si>
  <si>
    <t>Stratton</t>
  </si>
  <si>
    <t>Sumo Golf Village, The</t>
  </si>
  <si>
    <t>5201 Gary Player Dr, Florence, CO 81226</t>
  </si>
  <si>
    <t>Florence</t>
  </si>
  <si>
    <t>Sunset Golf Course</t>
  </si>
  <si>
    <t>1900 Longs Peak Ave, Longmont, CO 80501</t>
  </si>
  <si>
    <t>Tamarack Golf Course</t>
  </si>
  <si>
    <t>50771 State Road 71, Limon, CO 80828</t>
  </si>
  <si>
    <t>Limon</t>
  </si>
  <si>
    <t>Telluride Ski &amp; Golf Club</t>
  </si>
  <si>
    <t>565 Mountain Village Blvd, Telluride, CO 81435 ​</t>
  </si>
  <si>
    <t>Telluride</t>
  </si>
  <si>
    <t>Thorncreek Golf Club</t>
  </si>
  <si>
    <t>13555 Washington St, Thornton, CO 80241</t>
  </si>
  <si>
    <t>Thornton</t>
  </si>
  <si>
    <t>Tiara Rado Golf Course</t>
  </si>
  <si>
    <t>2057 S Broadway, Grand Junction, CO 81507</t>
  </si>
  <si>
    <t>Todd Creek Golf Club</t>
  </si>
  <si>
    <t>8455 Heritage Dr, Thornton, CO 80602</t>
  </si>
  <si>
    <t>TPC Colorado</t>
  </si>
  <si>
    <t>2375 TPC Parkway, Berthoud, CO 80513</t>
  </si>
  <si>
    <t>Berthoud</t>
  </si>
  <si>
    <t>Trinidad Golf Course</t>
  </si>
  <si>
    <t>1415 Franklin D Azar Dr, Trinidad, CO 81082</t>
  </si>
  <si>
    <t>Trinidad</t>
  </si>
  <si>
    <t>Twin Peaks Golf Course</t>
  </si>
  <si>
    <t>1200 Cornell Dr, Longmont, CO 80503</t>
  </si>
  <si>
    <t>Unaweep Canyon Golf Course</t>
  </si>
  <si>
    <t>CO-141, Grand Junction, CO 81503</t>
  </si>
  <si>
    <t>Whitewater</t>
  </si>
  <si>
    <t>Ute Creek</t>
  </si>
  <si>
    <t>2000 Ute Creek Dr, Longmont, CO 80504</t>
  </si>
  <si>
    <t>Vail Golf Club</t>
  </si>
  <si>
    <t>1775 Sunburst Dr, Vail, CO 81657</t>
  </si>
  <si>
    <t>Vail</t>
  </si>
  <si>
    <t>Valley Country Club</t>
  </si>
  <si>
    <t>14601 Country Club Dr, Centennial, CO 80016</t>
  </si>
  <si>
    <t>Valley Hi Golf Course</t>
  </si>
  <si>
    <t>610 S Chelton Rd, Colorado Springs, CO 80910</t>
  </si>
  <si>
    <t>Walking Stick Golf Course</t>
  </si>
  <si>
    <t>4301 Walking Stick Blvd, Pueblo, CO 81001</t>
  </si>
  <si>
    <t>Walnut Creek Golf Preserve</t>
  </si>
  <si>
    <t>10555 Westmoor Dr, Westminster, CO 80021</t>
  </si>
  <si>
    <t>Walsenburg Golf Course</t>
  </si>
  <si>
    <t>1399 Co Rd 502, Walsenburg, CO 81089</t>
  </si>
  <si>
    <t>Walsenburg</t>
  </si>
  <si>
    <t>Washington County Golf Club</t>
  </si>
  <si>
    <t>39469 Hwy 63, Akron, CO 80720</t>
  </si>
  <si>
    <t>Akron</t>
  </si>
  <si>
    <t>Wellshire Golf Course</t>
  </si>
  <si>
    <t>3900 E Dartmouth Ave, Denver, CO 80210</t>
  </si>
  <si>
    <t>West Woods Golf Club Cottonwood</t>
  </si>
  <si>
    <t>6655 Quaker St, Arvada, CO 80007</t>
  </si>
  <si>
    <t>West Woods Golf Club Silo</t>
  </si>
  <si>
    <t>West Woods Golf Club Sleeping Indian</t>
  </si>
  <si>
    <t>Willis Case Golf Course</t>
  </si>
  <si>
    <t>4999 Vrain St, Denver, CO 80212</t>
  </si>
  <si>
    <t>Willow Creek Golf Club at Eagle Vail</t>
  </si>
  <si>
    <t>538 Eagle Rd, Avon, CO 81620</t>
  </si>
  <si>
    <t>Wind Walker Ranch</t>
  </si>
  <si>
    <t>18 CO-131, Steamboat Springs, CO 80487</t>
  </si>
  <si>
    <t>Steam Boat Springs</t>
  </si>
  <si>
    <t>Wray Golf Course/ Country Club</t>
  </si>
  <si>
    <t>500 4th St, Wray, CO 80758</t>
  </si>
  <si>
    <t>Wray</t>
  </si>
  <si>
    <t>Yampa Valley Golf Club</t>
  </si>
  <si>
    <t>2179 CO-394, Craig, CO 81625</t>
  </si>
  <si>
    <t>Craig</t>
  </si>
  <si>
    <t>Permanently closed</t>
  </si>
  <si>
    <t>https://www.instagram.com/reel/DVEC0U5ji2q/?utm_source=ig_web_copy_link&amp;igsh=MzRlODBiNWFlZA==</t>
  </si>
  <si>
    <t>https://www.instagram.com/reel/DVbNW7PkdOa/?utm_source=ig_web_copy_link&amp;igsh=MzRlODBiNWFlZA==</t>
  </si>
  <si>
    <t>https://www.instagram.com/reel/DVyS0XjlGX5/?utm_source=ig_web_copy_link&amp;igsh=MzRlODBiNWFlZA==</t>
  </si>
  <si>
    <t>https://www.instagram.com/reel/DWJaAQYBjbM/?utm_source=ig_web_copy_link&amp;igsh=MzRlODBiNWFlZA==</t>
  </si>
  <si>
    <t>Rocking F Ranch</t>
  </si>
  <si>
    <t>19023 CO-131, Bond, CO 80423</t>
  </si>
  <si>
    <t>Bond</t>
  </si>
  <si>
    <t>https://www.instagram.com/p/DWtge96ByI2/</t>
  </si>
  <si>
    <t>https://www.instagram.com/p/DWWTqf6hs_Y/</t>
  </si>
  <si>
    <t xml:space="preserve">39.640802
</t>
  </si>
  <si>
    <t>https://www.instagram.com/p/DW6WwXQhhou/</t>
  </si>
  <si>
    <t>Adriel Hills Condominium Associates</t>
  </si>
  <si>
    <t>1900 Kedron Cir, Fort Collins, CO 80524</t>
  </si>
  <si>
    <t>Red Sky Golf Club - Fazio</t>
  </si>
  <si>
    <t>Red Sky Golf Club - Norman</t>
  </si>
  <si>
    <t>376 Red Sky Rd, Wolcott, CO 81655</t>
  </si>
  <si>
    <t>https://www.instagram.com/reel/DXWqbughP-Q/?utm_source=ig_web_copy_link&amp;igsh=MzRlODBiNWFlZA==</t>
  </si>
  <si>
    <t>https://www.instagram.com/reel/DX9SWKRBwEx/?utm_source=ig_web_copy_link&amp;igsh=MzRlODBiNWFlZA==</t>
  </si>
  <si>
    <t>https://www.instagram.com/reel/DYFBP1zBcjX/?utm_source=ig_web_copy_link&amp;igsh=MzRlODBiNWFlZA==</t>
  </si>
  <si>
    <t>https://www.instagram.com/reel/DYUhd_ch3aW/?utm_source=ig_web_copy_link&amp;igsh=MzRlODBiNWFlZA==</t>
  </si>
  <si>
    <t>https://www.instagram.com/reel/DYrpxEzhC-6/?utm_source=ig_web_copy_link&amp;igsh=MzRlODBiNWFlZA==</t>
  </si>
  <si>
    <t>https://www.instagram.com/reel/DZNJS6OhWu0/?utm_source=ig_web_copy_link&amp;igsh=MzRlODBiNWFlZA==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</si>
</sst>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>
    <font>
      <sz val="10"/>
      <color rgb="FF000000"/>
      <name val="Arial"/>
      <scheme val="minor"/>
    </font>
    <font>
      <b/>
      <sz val="12"/>
      <color rgb="FFFFFFFF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Verdana"/>
      <family val="2"/>
    </font>
    <font>
      <sz val="10"/>
      <color theme="1"/>
      <name val="Arial"/>
      <family val="2"/>
      <scheme val="minor"/>
    </font>
    <font>
      <u/>
      <sz val="12"/>
      <color rgb="FF000000"/>
      <name val="Times New Roman"/>
      <family val="1"/>
    </font>
    <font>
      <sz val="10"/>
      <color rgb="FF434343"/>
      <name val="Verdana"/>
      <family val="2"/>
    </font>
    <font>
      <u/>
      <sz val="12"/>
      <color rgb="FF000000"/>
      <name val="Times New Roman"/>
      <family val="1"/>
    </font>
    <font>
      <sz val="10"/>
      <color rgb="FF434343"/>
      <name val="Roboto"/>
    </font>
    <font>
      <sz val="9"/>
      <color rgb="FF007B8B"/>
      <name val="&quot;Google Sans&quot;"/>
    </font>
    <font>
      <u/>
      <sz val="12"/>
      <color rgb="FF434343"/>
      <name val="Times New Roman"/>
      <family val="1"/>
    </font>
    <font>
      <sz val="12"/>
      <color rgb="FF434343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Times New Roman"/>
      <family val="1"/>
    </font>
    <font>
      <u/>
      <sz val="12"/>
      <color rgb="FF000000"/>
      <name val="-webkit-standard"/>
    </font>
    <font>
      <u/>
      <sz val="10"/>
      <color theme="10"/>
      <name val="Arial"/>
      <family val="2"/>
      <scheme val="minor"/>
    </font>
    <font>
      <b/>
      <sz val="14"/>
      <color rgb="FF767676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/>
      <top/>
      <bottom/>
      <diagonal/>
    </border>
    <border>
      <left style="thin">
        <color rgb="FFF6F8F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medium">
        <color rgb="FF284E3F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1" xfId="0" applyFont="1" applyFill="1" applyBorder="1" applyAlignment="1">
      <alignment horizontal="left"/>
    </xf>
    <xf numFmtId="49" fontId="1" fillId="2" borderId="2" xfId="0" applyNumberFormat="1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49" fontId="2" fillId="2" borderId="2" xfId="0" applyNumberFormat="1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/>
    <xf numFmtId="0" fontId="3" fillId="3" borderId="5" xfId="0" applyFont="1" applyFill="1" applyBorder="1" applyAlignment="1">
      <alignment vertical="center"/>
    </xf>
    <xf numFmtId="0" fontId="3" fillId="3" borderId="6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4" fillId="3" borderId="5" xfId="0" applyFont="1" applyFill="1" applyBorder="1" applyAlignment="1">
      <alignment vertical="center"/>
    </xf>
    <xf numFmtId="14" fontId="4" fillId="3" borderId="5" xfId="0" applyNumberFormat="1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3" fillId="4" borderId="8" xfId="0" applyFont="1" applyFill="1" applyBorder="1"/>
    <xf numFmtId="0" fontId="3" fillId="4" borderId="8" xfId="0" applyFont="1" applyFill="1" applyBorder="1" applyAlignment="1">
      <alignment vertical="center"/>
    </xf>
    <xf numFmtId="0" fontId="3" fillId="4" borderId="9" xfId="0" applyFont="1" applyFill="1" applyBorder="1" applyAlignment="1">
      <alignment vertical="center"/>
    </xf>
    <xf numFmtId="0" fontId="5" fillId="0" borderId="0" xfId="0" applyFont="1" applyAlignment="1">
      <alignment vertical="center"/>
    </xf>
    <xf numFmtId="0" fontId="4" fillId="4" borderId="8" xfId="0" applyFont="1" applyFill="1" applyBorder="1" applyAlignment="1">
      <alignment vertical="center"/>
    </xf>
    <xf numFmtId="14" fontId="3" fillId="4" borderId="8" xfId="0" applyNumberFormat="1" applyFont="1" applyFill="1" applyBorder="1" applyAlignment="1">
      <alignment horizontal="right" vertical="center"/>
    </xf>
    <xf numFmtId="0" fontId="3" fillId="4" borderId="8" xfId="0" applyFont="1" applyFill="1" applyBorder="1" applyAlignment="1">
      <alignment horizontal="right" vertical="center"/>
    </xf>
    <xf numFmtId="0" fontId="3" fillId="3" borderId="4" xfId="0" applyFont="1" applyFill="1" applyBorder="1"/>
    <xf numFmtId="14" fontId="3" fillId="3" borderId="5" xfId="0" applyNumberFormat="1" applyFont="1" applyFill="1" applyBorder="1" applyAlignment="1">
      <alignment horizontal="right" vertical="center"/>
    </xf>
    <xf numFmtId="0" fontId="3" fillId="3" borderId="5" xfId="0" applyFont="1" applyFill="1" applyBorder="1" applyAlignment="1">
      <alignment horizontal="right" vertical="center"/>
    </xf>
    <xf numFmtId="0" fontId="3" fillId="4" borderId="7" xfId="0" applyFont="1" applyFill="1" applyBorder="1"/>
    <xf numFmtId="14" fontId="4" fillId="4" borderId="8" xfId="0" applyNumberFormat="1" applyFont="1" applyFill="1" applyBorder="1" applyAlignment="1">
      <alignment vertical="center"/>
    </xf>
    <xf numFmtId="0" fontId="6" fillId="4" borderId="8" xfId="0" applyFont="1" applyFill="1" applyBorder="1" applyAlignment="1">
      <alignment horizontal="center" vertical="center"/>
    </xf>
    <xf numFmtId="14" fontId="7" fillId="4" borderId="8" xfId="0" applyNumberFormat="1" applyFont="1" applyFill="1" applyBorder="1" applyAlignment="1">
      <alignment horizontal="right" vertical="center"/>
    </xf>
    <xf numFmtId="0" fontId="7" fillId="4" borderId="8" xfId="0" applyFont="1" applyFill="1" applyBorder="1" applyAlignment="1">
      <alignment horizontal="right" vertical="center"/>
    </xf>
    <xf numFmtId="0" fontId="3" fillId="3" borderId="0" xfId="0" applyFont="1" applyFill="1"/>
    <xf numFmtId="0" fontId="8" fillId="3" borderId="5" xfId="0" applyFont="1" applyFill="1" applyBorder="1" applyAlignment="1">
      <alignment horizontal="center" vertical="center"/>
    </xf>
    <xf numFmtId="14" fontId="7" fillId="3" borderId="5" xfId="0" applyNumberFormat="1" applyFont="1" applyFill="1" applyBorder="1" applyAlignment="1">
      <alignment horizontal="right" vertical="center"/>
    </xf>
    <xf numFmtId="0" fontId="7" fillId="3" borderId="5" xfId="0" applyFont="1" applyFill="1" applyBorder="1" applyAlignment="1">
      <alignment horizontal="right" vertical="center"/>
    </xf>
    <xf numFmtId="0" fontId="3" fillId="4" borderId="0" xfId="0" applyFont="1" applyFill="1" applyAlignment="1">
      <alignment vertical="center"/>
    </xf>
    <xf numFmtId="0" fontId="4" fillId="3" borderId="10" xfId="0" applyFont="1" applyFill="1" applyBorder="1" applyAlignment="1">
      <alignment vertical="center"/>
    </xf>
    <xf numFmtId="14" fontId="9" fillId="3" borderId="5" xfId="0" applyNumberFormat="1" applyFont="1" applyFill="1" applyBorder="1" applyAlignment="1">
      <alignment horizontal="right" vertical="center"/>
    </xf>
    <xf numFmtId="0" fontId="3" fillId="3" borderId="11" xfId="0" applyFont="1" applyFill="1" applyBorder="1" applyAlignment="1">
      <alignment vertical="center"/>
    </xf>
    <xf numFmtId="0" fontId="10" fillId="3" borderId="0" xfId="0" applyFont="1" applyFill="1" applyAlignment="1">
      <alignment horizontal="left" vertical="center"/>
    </xf>
    <xf numFmtId="0" fontId="3" fillId="4" borderId="5" xfId="0" applyFont="1" applyFill="1" applyBorder="1" applyAlignment="1">
      <alignment vertical="center"/>
    </xf>
    <xf numFmtId="0" fontId="3" fillId="4" borderId="6" xfId="0" applyFont="1" applyFill="1" applyBorder="1" applyAlignment="1">
      <alignment vertical="center"/>
    </xf>
    <xf numFmtId="14" fontId="4" fillId="3" borderId="8" xfId="0" applyNumberFormat="1" applyFont="1" applyFill="1" applyBorder="1" applyAlignment="1">
      <alignment vertical="center"/>
    </xf>
    <xf numFmtId="0" fontId="3" fillId="4" borderId="11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11" fillId="4" borderId="8" xfId="0" applyFont="1" applyFill="1" applyBorder="1" applyAlignment="1">
      <alignment horizontal="center" vertical="center"/>
    </xf>
    <xf numFmtId="14" fontId="12" fillId="3" borderId="5" xfId="0" applyNumberFormat="1" applyFont="1" applyFill="1" applyBorder="1" applyAlignment="1">
      <alignment horizontal="right" vertical="center"/>
    </xf>
    <xf numFmtId="0" fontId="3" fillId="3" borderId="8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13" fillId="4" borderId="12" xfId="0" applyFont="1" applyFill="1" applyBorder="1" applyAlignment="1">
      <alignment horizontal="center" vertical="center"/>
    </xf>
    <xf numFmtId="14" fontId="3" fillId="4" borderId="5" xfId="0" applyNumberFormat="1" applyFont="1" applyFill="1" applyBorder="1" applyAlignment="1">
      <alignment horizontal="right" vertical="center"/>
    </xf>
    <xf numFmtId="0" fontId="3" fillId="4" borderId="5" xfId="0" applyFont="1" applyFill="1" applyBorder="1" applyAlignment="1">
      <alignment horizontal="right" vertical="center"/>
    </xf>
    <xf numFmtId="0" fontId="4" fillId="4" borderId="12" xfId="0" applyFont="1" applyFill="1" applyBorder="1" applyAlignment="1">
      <alignment vertical="center"/>
    </xf>
    <xf numFmtId="14" fontId="3" fillId="3" borderId="8" xfId="0" applyNumberFormat="1" applyFont="1" applyFill="1" applyBorder="1" applyAlignment="1">
      <alignment horizontal="right" vertical="center"/>
    </xf>
    <xf numFmtId="0" fontId="7" fillId="3" borderId="8" xfId="0" applyFont="1" applyFill="1" applyBorder="1" applyAlignment="1">
      <alignment horizontal="right" vertical="center"/>
    </xf>
    <xf numFmtId="14" fontId="4" fillId="4" borderId="5" xfId="0" applyNumberFormat="1" applyFont="1" applyFill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14" fillId="3" borderId="10" xfId="0" applyFont="1" applyFill="1" applyBorder="1" applyAlignment="1">
      <alignment horizontal="center" vertical="center"/>
    </xf>
    <xf numFmtId="14" fontId="7" fillId="3" borderId="8" xfId="0" applyNumberFormat="1" applyFont="1" applyFill="1" applyBorder="1" applyAlignment="1">
      <alignment horizontal="right" vertical="center"/>
    </xf>
    <xf numFmtId="14" fontId="7" fillId="4" borderId="5" xfId="0" applyNumberFormat="1" applyFont="1" applyFill="1" applyBorder="1" applyAlignment="1">
      <alignment horizontal="right" vertical="center"/>
    </xf>
    <xf numFmtId="0" fontId="7" fillId="4" borderId="5" xfId="0" applyFont="1" applyFill="1" applyBorder="1" applyAlignment="1">
      <alignment horizontal="right" vertical="center"/>
    </xf>
    <xf numFmtId="0" fontId="3" fillId="3" borderId="8" xfId="0" applyFont="1" applyFill="1" applyBorder="1" applyAlignment="1">
      <alignment horizontal="right" vertical="center"/>
    </xf>
    <xf numFmtId="0" fontId="15" fillId="4" borderId="12" xfId="0" applyFont="1" applyFill="1" applyBorder="1" applyAlignment="1">
      <alignment vertical="center"/>
    </xf>
    <xf numFmtId="0" fontId="3" fillId="3" borderId="7" xfId="0" applyFont="1" applyFill="1" applyBorder="1" applyAlignment="1">
      <alignment vertical="center"/>
    </xf>
    <xf numFmtId="0" fontId="3" fillId="4" borderId="4" xfId="0" applyFont="1" applyFill="1" applyBorder="1" applyAlignment="1">
      <alignment vertical="center"/>
    </xf>
    <xf numFmtId="0" fontId="4" fillId="3" borderId="4" xfId="0" applyFont="1" applyFill="1" applyBorder="1" applyAlignment="1">
      <alignment vertical="center"/>
    </xf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7" xfId="0" applyFont="1" applyFill="1" applyBorder="1" applyAlignment="1">
      <alignment vertical="center"/>
    </xf>
    <xf numFmtId="0" fontId="4" fillId="4" borderId="9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13" xfId="0" applyFont="1" applyFill="1" applyBorder="1" applyAlignment="1">
      <alignment vertical="center"/>
    </xf>
    <xf numFmtId="14" fontId="4" fillId="4" borderId="13" xfId="0" applyNumberFormat="1" applyFont="1" applyFill="1" applyBorder="1" applyAlignment="1">
      <alignment vertical="center"/>
    </xf>
    <xf numFmtId="0" fontId="4" fillId="4" borderId="14" xfId="0" applyFont="1" applyFill="1" applyBorder="1" applyAlignment="1">
      <alignment vertical="center"/>
    </xf>
    <xf numFmtId="0" fontId="4" fillId="4" borderId="15" xfId="0" applyFont="1" applyFill="1" applyBorder="1" applyAlignment="1">
      <alignment vertical="center"/>
    </xf>
    <xf numFmtId="0" fontId="16" fillId="3" borderId="5" xfId="1" applyFill="1" applyBorder="1" applyAlignment="1">
      <alignment vertical="center"/>
    </xf>
    <xf numFmtId="0" fontId="16" fillId="4" borderId="8" xfId="1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14" fontId="7" fillId="4" borderId="0" xfId="0" applyNumberFormat="1" applyFont="1" applyFill="1" applyAlignment="1">
      <alignment horizontal="right" vertical="center"/>
    </xf>
    <xf numFmtId="0" fontId="7" fillId="4" borderId="0" xfId="0" applyFont="1" applyFill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16" fillId="3" borderId="10" xfId="1" applyFill="1" applyBorder="1" applyAlignment="1">
      <alignment vertical="center"/>
    </xf>
    <xf numFmtId="0" fontId="17" fillId="0" borderId="0" xfId="0" applyFont="1"/>
    <xf numFmtId="0" fontId="3" fillId="4" borderId="0" xfId="0" applyFont="1" applyFill="1" applyBorder="1" applyAlignment="1">
      <alignment vertical="center"/>
    </xf>
    <xf numFmtId="0" fontId="3" fillId="3" borderId="0" xfId="0" applyFont="1" applyFill="1" applyBorder="1" applyAlignment="1">
      <alignment vertical="center"/>
    </xf>
    <xf numFmtId="0" fontId="4" fillId="3" borderId="0" xfId="0" applyFont="1" applyFill="1" applyBorder="1" applyAlignment="1">
      <alignment vertical="center"/>
    </xf>
    <xf numFmtId="14" fontId="3" fillId="3" borderId="0" xfId="0" applyNumberFormat="1" applyFont="1" applyFill="1" applyBorder="1" applyAlignment="1">
      <alignment horizontal="right" vertical="center"/>
    </xf>
    <xf numFmtId="0" fontId="3" fillId="3" borderId="0" xfId="0" applyFont="1" applyFill="1" applyBorder="1" applyAlignment="1">
      <alignment horizontal="right" vertical="center"/>
    </xf>
    <xf numFmtId="0" fontId="3" fillId="3" borderId="0" xfId="0" applyFont="1" applyFill="1" applyBorder="1"/>
    <xf numFmtId="14" fontId="4" fillId="3" borderId="0" xfId="0" applyNumberFormat="1" applyFont="1" applyFill="1" applyBorder="1" applyAlignment="1">
      <alignment vertical="center"/>
    </xf>
    <xf numFmtId="0" fontId="3" fillId="5" borderId="16" xfId="0" applyFont="1" applyFill="1" applyBorder="1" applyAlignment="1">
      <alignment wrapText="1"/>
    </xf>
    <xf numFmtId="0" fontId="3" fillId="6" borderId="16" xfId="0" applyFont="1" applyFill="1" applyBorder="1" applyAlignment="1">
      <alignment wrapText="1"/>
    </xf>
    <xf numFmtId="0" fontId="16" fillId="0" borderId="0" xfId="1"/>
    <xf numFmtId="0" fontId="6" fillId="3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Sheet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207</xdr:row>
      <xdr:rowOff>0</xdr:rowOff>
    </xdr:from>
    <xdr:to>
      <xdr:col>5</xdr:col>
      <xdr:colOff>12700</xdr:colOff>
      <xdr:row>207</xdr:row>
      <xdr:rowOff>12700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A18860-A032-7D00-48B7-B216DBD958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58300" y="57556400"/>
          <a:ext cx="12700" cy="12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1055">
  <tableColumns count="10">
    <tableColumn id="1" xr3:uid="{00000000-0010-0000-0000-000001000000}" name="Course"/>
    <tableColumn id="2" xr3:uid="{00000000-0010-0000-0000-000002000000}" name="Address"/>
    <tableColumn id="3" xr3:uid="{00000000-0010-0000-0000-000003000000}" name="City"/>
    <tableColumn id="4" xr3:uid="{00000000-0010-0000-0000-000004000000}" name="Type"/>
    <tableColumn id="5" xr3:uid="{00000000-0010-0000-0000-000005000000}" name="Region"/>
    <tableColumn id="6" xr3:uid="{00000000-0010-0000-0000-000006000000}" name="Lat"/>
    <tableColumn id="7" xr3:uid="{00000000-0010-0000-0000-000007000000}" name="Long"/>
    <tableColumn id="8" xr3:uid="{00000000-0010-0000-0000-000008000000}" name="Reel"/>
    <tableColumn id="9" xr3:uid="{00000000-0010-0000-0000-000009000000}" name="1st Played"/>
    <tableColumn id="10" xr3:uid="{00000000-0010-0000-0000-00000A000000}" name="Order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nstagram.com/reel/DOtZN9Q3KXh/?igsh=MXcwZ2xsNG1hZXI2aA==" TargetMode="External"/><Relationship Id="rId21" Type="http://schemas.openxmlformats.org/officeDocument/2006/relationships/hyperlink" Target="https://www.instagram.com/reel/DMsWoW3RvFu/?utm_source=ig_web_copy_link&amp;igsh=eHowemFieDJocW1q" TargetMode="External"/><Relationship Id="rId42" Type="http://schemas.openxmlformats.org/officeDocument/2006/relationships/hyperlink" Target="https://www.instagram.com/reel/DL-A2ujt86e/?utm_source=ig_web_copy_link&amp;igsh=ZmVsZ2Vvbm9kczky" TargetMode="External"/><Relationship Id="rId47" Type="http://schemas.openxmlformats.org/officeDocument/2006/relationships/hyperlink" Target="https://www.instagram.com/reel/DOW9CzsgSfj/?utm_source=ig_web_copy_link&amp;igsh=MXJzcXEwMmVhZzk0" TargetMode="External"/><Relationship Id="rId63" Type="http://schemas.openxmlformats.org/officeDocument/2006/relationships/hyperlink" Target="https://www.instagram.com/reel/DVbNW7PkdOa/?utm_source=ig_web_copy_link&amp;igsh=MzRlODBiNWFlZA==" TargetMode="External"/><Relationship Id="rId68" Type="http://schemas.openxmlformats.org/officeDocument/2006/relationships/hyperlink" Target="https://www.instagram.com/reel/DXWqbughP-Q/?utm_source=ig_web_copy_link&amp;igsh=MzRlODBiNWFlZA==" TargetMode="External"/><Relationship Id="rId2" Type="http://schemas.openxmlformats.org/officeDocument/2006/relationships/hyperlink" Target="https://www.instagram.com/reel/DOmaUsQgRyI/?utm_source=ig_web_copy_link&amp;igsh=MXJ5dnF5aDkwZ2JzaQ==" TargetMode="External"/><Relationship Id="rId16" Type="http://schemas.openxmlformats.org/officeDocument/2006/relationships/hyperlink" Target="https://www.instagram.com/p/DNInWkKMHct/" TargetMode="External"/><Relationship Id="rId29" Type="http://schemas.openxmlformats.org/officeDocument/2006/relationships/hyperlink" Target="https://www.instagram.com/p/DM7v9xDsyaI/" TargetMode="External"/><Relationship Id="rId11" Type="http://schemas.openxmlformats.org/officeDocument/2006/relationships/hyperlink" Target="https://www.instagram.com/reel/DMfeqgnxnpH/?igsh=cjU5dXpja3cxeDVl" TargetMode="External"/><Relationship Id="rId24" Type="http://schemas.openxmlformats.org/officeDocument/2006/relationships/hyperlink" Target="https://www.instagram.com/reel/DOuHm3NgSXb/?igsh=MW5yYWxxbWNvaWI5bA==" TargetMode="External"/><Relationship Id="rId32" Type="http://schemas.openxmlformats.org/officeDocument/2006/relationships/hyperlink" Target="https://www.instagram.com/reel/DKamS0ut3rP/?utm_source=ig_web_copy_link&amp;igsh=aWZ1MDZkazVwbmM3" TargetMode="External"/><Relationship Id="rId37" Type="http://schemas.openxmlformats.org/officeDocument/2006/relationships/hyperlink" Target="https://www.instagram.com/reel/DMSphr6xMfY/?utm_source=ig_web_copy_link&amp;igsh=ZjB2MXh5emwycjVx" TargetMode="External"/><Relationship Id="rId40" Type="http://schemas.openxmlformats.org/officeDocument/2006/relationships/hyperlink" Target="https://www.instagram.com/p/DRChBrmDlPc/" TargetMode="External"/><Relationship Id="rId45" Type="http://schemas.openxmlformats.org/officeDocument/2006/relationships/hyperlink" Target="https://www.instagram.com/p/DRpKDBIjmpJ/" TargetMode="External"/><Relationship Id="rId53" Type="http://schemas.openxmlformats.org/officeDocument/2006/relationships/hyperlink" Target="https://www.instagram.com/reel/DMaT1v2s2tt/?igsh=ZmJna2xtMTc4NTV1" TargetMode="External"/><Relationship Id="rId58" Type="http://schemas.openxmlformats.org/officeDocument/2006/relationships/hyperlink" Target="https://www.instagram.com/reel/DMDEvZ7NcF1/?utm_source=ig_web_copy_link&amp;igsh=MTltb3Q1czB3YWRlaw==" TargetMode="External"/><Relationship Id="rId66" Type="http://schemas.openxmlformats.org/officeDocument/2006/relationships/hyperlink" Target="https://www.instagram.com/p/DWtge96ByI2/" TargetMode="External"/><Relationship Id="rId74" Type="http://schemas.openxmlformats.org/officeDocument/2006/relationships/table" Target="../tables/table1.xml"/><Relationship Id="rId5" Type="http://schemas.openxmlformats.org/officeDocument/2006/relationships/hyperlink" Target="https://www.instagram.com/reel/DLhhQt6xqAb/?utm_source=ig_web_copy_link&amp;igsh=MXF0ejFrM3JocWtmbw==" TargetMode="External"/><Relationship Id="rId61" Type="http://schemas.openxmlformats.org/officeDocument/2006/relationships/hyperlink" Target="https://www.instagram.com/reel/DIzwc6aRywS/?igsh=NnZ2OW9jNDIwOHMw" TargetMode="External"/><Relationship Id="rId19" Type="http://schemas.openxmlformats.org/officeDocument/2006/relationships/hyperlink" Target="https://www.instagram.com/reel/DPXU551DsEB/?utm_source=ig_web_copy_link&amp;igsh=MXZmdnB2cmxudGZ0Nw==" TargetMode="External"/><Relationship Id="rId14" Type="http://schemas.openxmlformats.org/officeDocument/2006/relationships/hyperlink" Target="https://www.instagram.com/reel/DLukFcNM57U/?utm_source=ig_web_copy_link&amp;igsh=anVmYm4yNjJocnZw" TargetMode="External"/><Relationship Id="rId22" Type="http://schemas.openxmlformats.org/officeDocument/2006/relationships/hyperlink" Target="https://www.instagram.com/reel/DL2TnqGNm3-/?utm_source=ig_web_copy_link&amp;igsh=cTJ5MXNqbnQ1OWxz" TargetMode="External"/><Relationship Id="rId27" Type="http://schemas.openxmlformats.org/officeDocument/2006/relationships/hyperlink" Target="https://www.instagram.com/p/DSkaoOBDvds/" TargetMode="External"/><Relationship Id="rId30" Type="http://schemas.openxmlformats.org/officeDocument/2006/relationships/hyperlink" Target="https://www.instagram.com/p/DNfwiNjNrrJ/" TargetMode="External"/><Relationship Id="rId35" Type="http://schemas.openxmlformats.org/officeDocument/2006/relationships/hyperlink" Target="https://www.instagram.com/reel/DPuhK7ngTNQ/?igsh=MXM5Y2pjZHJ0YjBvZQ==" TargetMode="External"/><Relationship Id="rId43" Type="http://schemas.openxmlformats.org/officeDocument/2006/relationships/hyperlink" Target="https://www.instagram.com/reel/DJUca1mt1Iu/?igsh=MXgxYWZnMmIxNmFjeg==" TargetMode="External"/><Relationship Id="rId48" Type="http://schemas.openxmlformats.org/officeDocument/2006/relationships/hyperlink" Target="https://www.instagram.com/reel/DPFVEnuDjkn/?igsh=MWR1N2ZnNnJ4Z3MxMA==" TargetMode="External"/><Relationship Id="rId56" Type="http://schemas.openxmlformats.org/officeDocument/2006/relationships/hyperlink" Target="https://www.instagram.com/reel/DP_f0qiDrX5/?igsh=MTd2eWxpd24zeDhsdg==" TargetMode="External"/><Relationship Id="rId64" Type="http://schemas.openxmlformats.org/officeDocument/2006/relationships/hyperlink" Target="https://www.instagram.com/reel/DVyS0XjlGX5/?utm_source=ig_web_copy_link&amp;igsh=MzRlODBiNWFlZA==" TargetMode="External"/><Relationship Id="rId69" Type="http://schemas.openxmlformats.org/officeDocument/2006/relationships/hyperlink" Target="https://www.instagram.com/reel/DX9SWKRBwEx/?utm_source=ig_web_copy_link&amp;igsh=MzRlODBiNWFlZA==" TargetMode="External"/><Relationship Id="rId8" Type="http://schemas.openxmlformats.org/officeDocument/2006/relationships/hyperlink" Target="https://www.instagram.com/reel/DK4VHz2tmae/?utm_source=ig_web_copy_link&amp;igsh=MXVpNnI1NzRpMm9nbA==" TargetMode="External"/><Relationship Id="rId51" Type="http://schemas.openxmlformats.org/officeDocument/2006/relationships/hyperlink" Target="https://www.instagram.com/reel/DI6au-VxrXF/?igsh=cGw0NTl6NG9qNHR2" TargetMode="External"/><Relationship Id="rId72" Type="http://schemas.openxmlformats.org/officeDocument/2006/relationships/hyperlink" Target="https://www.instagram.com/reel/DYrpxEzhC-6/?utm_source=ig_web_copy_link&amp;igsh=MzRlODBiNWFlZA==" TargetMode="External"/><Relationship Id="rId3" Type="http://schemas.openxmlformats.org/officeDocument/2006/relationships/hyperlink" Target="https://www.instagram.com/reel/DOBvxIttynw/?igsh=OTZwMTBlMGt2cHZk" TargetMode="External"/><Relationship Id="rId12" Type="http://schemas.openxmlformats.org/officeDocument/2006/relationships/hyperlink" Target="https://www.instagram.com/reel/DKRuPwfN61F/?utm_source=ig_web_copy_link&amp;igsh=OGZlaDN3N3Y1Zjhr" TargetMode="External"/><Relationship Id="rId17" Type="http://schemas.openxmlformats.org/officeDocument/2006/relationships/hyperlink" Target="https://www.instagram.com/p/DR32RrBDnTu/" TargetMode="External"/><Relationship Id="rId25" Type="http://schemas.openxmlformats.org/officeDocument/2006/relationships/hyperlink" Target="https://www.instagram.com/reel/DNy53J3NYCb/?igsh=MXRnbWYxcDQwMWcxOQ==" TargetMode="External"/><Relationship Id="rId33" Type="http://schemas.openxmlformats.org/officeDocument/2006/relationships/hyperlink" Target="https://www.instagram.com/p/DSAVQ_Jjh82/" TargetMode="External"/><Relationship Id="rId38" Type="http://schemas.openxmlformats.org/officeDocument/2006/relationships/hyperlink" Target="https://www.instagram.com/reel/DJK1SH8tIOM/?igsh=cGN4NGppZmlja2Rt" TargetMode="External"/><Relationship Id="rId46" Type="http://schemas.openxmlformats.org/officeDocument/2006/relationships/hyperlink" Target="https://www.instagram.com/reel/DRFIEL2DtT4/?utm_source=ig_web_copy_link&amp;igsh=MzRlODBiNWFlZA==" TargetMode="External"/><Relationship Id="rId59" Type="http://schemas.openxmlformats.org/officeDocument/2006/relationships/hyperlink" Target="https://www.instagram.com/p/DNQVrqMRCGG/" TargetMode="External"/><Relationship Id="rId67" Type="http://schemas.openxmlformats.org/officeDocument/2006/relationships/hyperlink" Target="https://www.instagram.com/p/DW6WwXQhhou/" TargetMode="External"/><Relationship Id="rId20" Type="http://schemas.openxmlformats.org/officeDocument/2006/relationships/hyperlink" Target="https://www.instagram.com/reel/DQHKHZ1DqJH/?igsh=MWxxZXJsZmx3dmJ2NA==" TargetMode="External"/><Relationship Id="rId41" Type="http://schemas.openxmlformats.org/officeDocument/2006/relationships/hyperlink" Target="https://www.instagram.com/reel/DNnkm-Rt4zC/?utm_source=ig_web_copy_link&amp;igsh=MTVwcnEzZ3lxYWJydw==" TargetMode="External"/><Relationship Id="rId54" Type="http://schemas.openxmlformats.org/officeDocument/2006/relationships/hyperlink" Target="https://www.instagram.com/p/DNYCWhGsGe7/" TargetMode="External"/><Relationship Id="rId62" Type="http://schemas.openxmlformats.org/officeDocument/2006/relationships/hyperlink" Target="https://www.instagram.com/reel/DVEC0U5ji2q/?utm_source=ig_web_copy_link&amp;igsh=MzRlODBiNWFlZA==" TargetMode="External"/><Relationship Id="rId70" Type="http://schemas.openxmlformats.org/officeDocument/2006/relationships/hyperlink" Target="https://www.instagram.com/reel/DYFBP1zBcjX/?utm_source=ig_web_copy_link&amp;igsh=MzRlODBiNWFlZA==" TargetMode="External"/><Relationship Id="rId1" Type="http://schemas.openxmlformats.org/officeDocument/2006/relationships/hyperlink" Target="https://www.instagram.com/reel/DJy4_qLteV-/?igsh=eWtlZDEzZXQwZ2U4" TargetMode="External"/><Relationship Id="rId6" Type="http://schemas.openxmlformats.org/officeDocument/2006/relationships/hyperlink" Target="https://www.instagram.com/reel/DLXTQ1fsGTp/?utm_source=ig_web_copy_link&amp;igsh=MWQ1OHJ4MGl2YjV5cg==" TargetMode="External"/><Relationship Id="rId15" Type="http://schemas.openxmlformats.org/officeDocument/2006/relationships/hyperlink" Target="https://www.instagram.com/reel/DLm0APvsTDx/?utm_source=ig_web_copy_link&amp;igsh=d2ZlMzloM2Y2MW1m" TargetMode="External"/><Relationship Id="rId23" Type="http://schemas.openxmlformats.org/officeDocument/2006/relationships/hyperlink" Target="https://www.instagram.com/reel/DIjFLtNx1d-/?igsh=aXZ6NW9vc2wxZm83" TargetMode="External"/><Relationship Id="rId28" Type="http://schemas.openxmlformats.org/officeDocument/2006/relationships/hyperlink" Target="https://www.instagram.com/p/DRw7V8_jp_R/" TargetMode="External"/><Relationship Id="rId36" Type="http://schemas.openxmlformats.org/officeDocument/2006/relationships/hyperlink" Target="https://www.instagram.com/reel/DQZKowWDuKW/?igsh=bjhiZTkzOHJ5ajgw" TargetMode="External"/><Relationship Id="rId49" Type="http://schemas.openxmlformats.org/officeDocument/2006/relationships/hyperlink" Target="https://www.instagram.com/reel/DKCfExYNW7U/?igsh=MTh0dzlxbDdwdjc2dA==" TargetMode="External"/><Relationship Id="rId57" Type="http://schemas.openxmlformats.org/officeDocument/2006/relationships/hyperlink" Target="https://www.instagram.com/reel/DJAgX7FxViK/?igsh=cWpvaHBic3JibTRw" TargetMode="External"/><Relationship Id="rId10" Type="http://schemas.openxmlformats.org/officeDocument/2006/relationships/hyperlink" Target="https://www.instagram.com/reel/DO9lhsTDsDM/?igsh=MXEybnBwdWo5c240eA==" TargetMode="External"/><Relationship Id="rId31" Type="http://schemas.openxmlformats.org/officeDocument/2006/relationships/hyperlink" Target="https://www.instagram.com/reel/DIqzdBRxq5K/?igsh=NGo1Z285bWJ0dXNp" TargetMode="External"/><Relationship Id="rId44" Type="http://schemas.openxmlformats.org/officeDocument/2006/relationships/hyperlink" Target="https://www.instagram.com/reel/DRFIEL2DtT4/?utm_source=ig_web_copy_link&amp;igsh=MzRlODBiNWFlZA==" TargetMode="External"/><Relationship Id="rId52" Type="http://schemas.openxmlformats.org/officeDocument/2006/relationships/hyperlink" Target="https://www.instagram.com/p/DNA8_78RPE9/" TargetMode="External"/><Relationship Id="rId60" Type="http://schemas.openxmlformats.org/officeDocument/2006/relationships/hyperlink" Target="https://www.instagram.com/reel/DJ6etP-tcSl/?utm_source=ig_web_copy_link&amp;igsh=MzRlODBiNWFlZA==" TargetMode="External"/><Relationship Id="rId65" Type="http://schemas.openxmlformats.org/officeDocument/2006/relationships/hyperlink" Target="https://www.instagram.com/reel/DWJaAQYBjbM/?utm_source=ig_web_copy_link&amp;igsh=MzRlODBiNWFlZA==" TargetMode="External"/><Relationship Id="rId73" Type="http://schemas.openxmlformats.org/officeDocument/2006/relationships/drawing" Target="../drawings/drawing1.xml"/><Relationship Id="rId4" Type="http://schemas.openxmlformats.org/officeDocument/2006/relationships/hyperlink" Target="https://www.instagram.com/reel/DPPrniLAY6L/?igsh=dGxxNGNwdG52aWcw" TargetMode="External"/><Relationship Id="rId9" Type="http://schemas.openxmlformats.org/officeDocument/2006/relationships/hyperlink" Target="https://www.instagram.com/reel/DJod3-dNtz8/?igsh=MW1ianNucGxwd3NxaQ==" TargetMode="External"/><Relationship Id="rId13" Type="http://schemas.openxmlformats.org/officeDocument/2006/relationships/hyperlink" Target="https://www.instagram.com/reel/DIKiBAwRHjs/?igsh=MmV6Y29vaGk3N2Z2" TargetMode="External"/><Relationship Id="rId18" Type="http://schemas.openxmlformats.org/officeDocument/2006/relationships/hyperlink" Target="https://www.instagram.com/p/DOKEd7kAa1g/" TargetMode="External"/><Relationship Id="rId39" Type="http://schemas.openxmlformats.org/officeDocument/2006/relationships/hyperlink" Target="https://www.instagram.com/reel/DM0CJ0WsZD2/?utm_source=ig_web_copy_link&amp;igsh=MWUyY2R3aDM0emQzdg==" TargetMode="External"/><Relationship Id="rId34" Type="http://schemas.openxmlformats.org/officeDocument/2006/relationships/hyperlink" Target="https://www.instagram.com/reel/DKJ434etlm3/?utm_source=ig_web_copy_link&amp;igsh=MWw1Z3VsZG4wOWsxYg==" TargetMode="External"/><Relationship Id="rId50" Type="http://schemas.openxmlformats.org/officeDocument/2006/relationships/hyperlink" Target="https://www.instagram.com/reel/DPTrbCADmQ0/?igsh=cmV2cnE3NTV3ZzBo" TargetMode="External"/><Relationship Id="rId55" Type="http://schemas.openxmlformats.org/officeDocument/2006/relationships/hyperlink" Target="https://www.instagram.com/reel/DKuJ730s5oE/?utm_source=ig_web_copy_link&amp;igsh=ZzhrczN4MmM4OWd6" TargetMode="External"/><Relationship Id="rId7" Type="http://schemas.openxmlformats.org/officeDocument/2006/relationships/hyperlink" Target="https://www.instagram.com/reel/DL98SXZMcac/?utm_source=ig_web_copy_link&amp;igsh=MTZsdmNxbHdjamVmcw==" TargetMode="External"/><Relationship Id="rId71" Type="http://schemas.openxmlformats.org/officeDocument/2006/relationships/hyperlink" Target="https://www.instagram.com/reel/DYUhd_ch3aW/?utm_source=ig_web_copy_link&amp;igsh=MzRlODBiNWFlZA=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55"/>
  <sheetViews>
    <sheetView tabSelected="1" workbookViewId="0">
      <pane ySplit="1" topLeftCell="A242" activePane="bottomLeft" state="frozen"/>
      <selection pane="bottomLeft" activeCell="L287" sqref="L287"/>
    </sheetView>
  </sheetViews>
  <sheetFormatPr defaultColWidth="12.7109375" defaultRowHeight="15.75" customHeight="1"/>
  <cols>
    <col min="1" max="1" width="32.28515625" customWidth="1"/>
    <col min="2" max="2" width="44.7109375" customWidth="1"/>
    <col min="5" max="5" width="19.140625" customWidth="1"/>
  </cols>
  <sheetData>
    <row r="1" spans="1:10" ht="22.5" customHeight="1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  <c r="J1" s="7" t="s">
        <v>9</v>
      </c>
    </row>
    <row r="2" spans="1:10" ht="22.5" customHeight="1">
      <c r="A2" s="8" t="s">
        <v>10</v>
      </c>
      <c r="B2" s="9" t="s">
        <v>11</v>
      </c>
      <c r="C2" s="10" t="s">
        <v>12</v>
      </c>
      <c r="D2" s="10" t="s">
        <v>13</v>
      </c>
      <c r="E2" s="11" t="s">
        <v>14</v>
      </c>
      <c r="F2" s="12">
        <v>39.132733999999999</v>
      </c>
      <c r="G2" s="12">
        <v>-108.71002</v>
      </c>
      <c r="H2" s="13"/>
      <c r="I2" s="14"/>
      <c r="J2" s="13" t="str">
        <f ca="1">IFERROR(__xludf.DUMMYFUNCTION("IF(I2="""", """", RANK(I2, FILTER(I:I, I:I&lt;&gt;""""), 1))
"),"")</f>
        <v/>
      </c>
    </row>
    <row r="3" spans="1:10" ht="22.5" customHeight="1">
      <c r="A3" s="38" t="s">
        <v>702</v>
      </c>
      <c r="B3" s="89" t="s">
        <v>703</v>
      </c>
      <c r="C3" s="85" t="s">
        <v>135</v>
      </c>
      <c r="D3" s="85" t="s">
        <v>29</v>
      </c>
      <c r="E3" s="18" t="s">
        <v>40</v>
      </c>
      <c r="F3" s="12">
        <v>40.609129000000003</v>
      </c>
      <c r="G3" s="12">
        <f>-105.039573</f>
        <v>-105.039573</v>
      </c>
      <c r="H3" s="86"/>
      <c r="I3" s="90"/>
      <c r="J3" s="86"/>
    </row>
    <row r="4" spans="1:10" ht="22.5" customHeight="1">
      <c r="A4" s="15" t="s">
        <v>15</v>
      </c>
      <c r="B4" s="16" t="s">
        <v>16</v>
      </c>
      <c r="C4" s="17" t="s">
        <v>17</v>
      </c>
      <c r="D4" s="17" t="s">
        <v>13</v>
      </c>
      <c r="E4" s="18" t="s">
        <v>18</v>
      </c>
      <c r="F4" s="19">
        <v>38.936900000000001</v>
      </c>
      <c r="G4" s="19">
        <v>-104.593</v>
      </c>
      <c r="H4" s="20"/>
      <c r="I4" s="21">
        <v>43604</v>
      </c>
      <c r="J4" s="22">
        <f ca="1">IFERROR(__xludf.DUMMYFUNCTION("IF(I3="""", """", RANK(I3, FILTER(I:I, I:I&lt;&gt;""""), 1))
"),6)</f>
        <v>6</v>
      </c>
    </row>
    <row r="5" spans="1:10" ht="22.5" customHeight="1">
      <c r="A5" s="23" t="s">
        <v>19</v>
      </c>
      <c r="B5" s="9" t="s">
        <v>20</v>
      </c>
      <c r="C5" s="9" t="s">
        <v>21</v>
      </c>
      <c r="D5" s="9" t="s">
        <v>13</v>
      </c>
      <c r="E5" s="11" t="s">
        <v>22</v>
      </c>
      <c r="F5" s="19">
        <v>39.762700000000002</v>
      </c>
      <c r="G5" s="19">
        <v>-105.1575</v>
      </c>
      <c r="H5" s="13"/>
      <c r="I5" s="24">
        <v>45621</v>
      </c>
      <c r="J5" s="25">
        <f ca="1">IFERROR(__xludf.DUMMYFUNCTION("IF(I4="""", """", RANK(I4, FILTER(I:I, I:I&lt;&gt;""""), 1))
"),76)</f>
        <v>76</v>
      </c>
    </row>
    <row r="6" spans="1:10" ht="22.5" customHeight="1">
      <c r="A6" s="26" t="s">
        <v>23</v>
      </c>
      <c r="B6" s="16" t="s">
        <v>24</v>
      </c>
      <c r="C6" s="16" t="s">
        <v>25</v>
      </c>
      <c r="D6" s="16" t="s">
        <v>13</v>
      </c>
      <c r="E6" s="18" t="s">
        <v>22</v>
      </c>
      <c r="F6" s="19">
        <v>39.453299999999999</v>
      </c>
      <c r="G6" s="19">
        <v>-105.08240000000001</v>
      </c>
      <c r="H6" s="20"/>
      <c r="I6" s="21">
        <v>44265</v>
      </c>
      <c r="J6" s="22">
        <f ca="1">IFERROR(__xludf.DUMMYFUNCTION("IF(I5="""", """", RANK(I5, FILTER(I:I, I:I&lt;&gt;""""), 1))
"),23)</f>
        <v>23</v>
      </c>
    </row>
    <row r="7" spans="1:10" ht="22.5" customHeight="1">
      <c r="A7" s="8" t="s">
        <v>26</v>
      </c>
      <c r="B7" s="9" t="s">
        <v>27</v>
      </c>
      <c r="C7" s="10" t="s">
        <v>28</v>
      </c>
      <c r="D7" s="10" t="s">
        <v>29</v>
      </c>
      <c r="E7" s="11" t="s">
        <v>30</v>
      </c>
      <c r="F7" s="19">
        <v>39.402299999999997</v>
      </c>
      <c r="G7" s="19">
        <v>-107.21129999999999</v>
      </c>
      <c r="H7" s="13"/>
      <c r="I7" s="14"/>
      <c r="J7" s="13" t="str">
        <f ca="1">IFERROR(__xludf.DUMMYFUNCTION("IF(I6="""", """", RANK(I6, FILTER(I:I, I:I&lt;&gt;""""), 1))
"),"")</f>
        <v/>
      </c>
    </row>
    <row r="8" spans="1:10" ht="22.5" customHeight="1">
      <c r="A8" s="15" t="s">
        <v>31</v>
      </c>
      <c r="B8" s="16" t="s">
        <v>32</v>
      </c>
      <c r="C8" s="17" t="s">
        <v>33</v>
      </c>
      <c r="D8" s="17" t="s">
        <v>13</v>
      </c>
      <c r="E8" s="18" t="s">
        <v>30</v>
      </c>
      <c r="F8" s="19">
        <v>39.191099999999999</v>
      </c>
      <c r="G8" s="19">
        <v>-106.8175</v>
      </c>
      <c r="H8" s="20"/>
      <c r="I8" s="27"/>
      <c r="J8" s="20" t="str">
        <f ca="1">IFERROR(__xludf.DUMMYFUNCTION("IF(I7="""", """", RANK(I7, FILTER(I:I, I:I&lt;&gt;""""), 1))
"),"")</f>
        <v/>
      </c>
    </row>
    <row r="9" spans="1:10" ht="22.5" customHeight="1">
      <c r="A9" s="23" t="s">
        <v>34</v>
      </c>
      <c r="B9" s="9" t="s">
        <v>35</v>
      </c>
      <c r="C9" s="9" t="s">
        <v>36</v>
      </c>
      <c r="D9" s="9" t="s">
        <v>13</v>
      </c>
      <c r="E9" s="11" t="s">
        <v>22</v>
      </c>
      <c r="F9" s="19">
        <v>39.714700000000001</v>
      </c>
      <c r="G9" s="19">
        <v>-104.84050000000001</v>
      </c>
      <c r="H9" s="13"/>
      <c r="I9" s="14"/>
      <c r="J9" s="13" t="str">
        <f ca="1">IFERROR(__xludf.DUMMYFUNCTION("IF(I8="""", """", RANK(I8, FILTER(I:I, I:I&lt;&gt;""""), 1))
"),"")</f>
        <v/>
      </c>
    </row>
    <row r="10" spans="1:10" ht="22.5" customHeight="1">
      <c r="A10" s="15" t="s">
        <v>37</v>
      </c>
      <c r="B10" s="16" t="s">
        <v>38</v>
      </c>
      <c r="C10" s="17" t="s">
        <v>39</v>
      </c>
      <c r="D10" s="17" t="s">
        <v>29</v>
      </c>
      <c r="E10" s="18" t="s">
        <v>40</v>
      </c>
      <c r="F10" s="19">
        <v>40.582000000000001</v>
      </c>
      <c r="G10" s="19">
        <v>-102.30110000000001</v>
      </c>
      <c r="H10" s="20"/>
      <c r="I10" s="21">
        <v>44717</v>
      </c>
      <c r="J10" s="22">
        <f ca="1">IFERROR(__xludf.DUMMYFUNCTION("IF(I9="""", """", RANK(I9, FILTER(I:I, I:I&lt;&gt;""""), 1))
"),36)</f>
        <v>36</v>
      </c>
    </row>
    <row r="11" spans="1:10" ht="22.5" customHeight="1">
      <c r="A11" s="15" t="s">
        <v>41</v>
      </c>
      <c r="B11" s="16" t="s">
        <v>38</v>
      </c>
      <c r="C11" s="17" t="s">
        <v>39</v>
      </c>
      <c r="D11" s="17" t="s">
        <v>29</v>
      </c>
      <c r="E11" s="18" t="s">
        <v>40</v>
      </c>
      <c r="F11" s="19">
        <v>40.422139999999999</v>
      </c>
      <c r="G11" s="19">
        <v>-102.273219</v>
      </c>
      <c r="H11" s="13"/>
      <c r="I11" s="14"/>
      <c r="J11" s="13" t="str">
        <f ca="1">IFERROR(__xludf.DUMMYFUNCTION("IF(I10="""", """", RANK(I10, FILTER(I:I, I:I&lt;&gt;""""), 1))
"),"")</f>
        <v/>
      </c>
    </row>
    <row r="12" spans="1:10" ht="22.5" customHeight="1">
      <c r="A12" s="8" t="s">
        <v>42</v>
      </c>
      <c r="B12" s="9" t="s">
        <v>43</v>
      </c>
      <c r="C12" s="10" t="s">
        <v>44</v>
      </c>
      <c r="D12" s="10" t="s">
        <v>13</v>
      </c>
      <c r="E12" s="11" t="s">
        <v>14</v>
      </c>
      <c r="F12" s="19">
        <v>39.4557</v>
      </c>
      <c r="G12" s="19">
        <v>-108.0446</v>
      </c>
    </row>
    <row r="13" spans="1:10" ht="22.5" customHeight="1">
      <c r="A13" s="26" t="s">
        <v>45</v>
      </c>
      <c r="B13" s="16" t="s">
        <v>46</v>
      </c>
      <c r="C13" s="16" t="s">
        <v>47</v>
      </c>
      <c r="D13" s="16" t="s">
        <v>29</v>
      </c>
      <c r="E13" s="18" t="s">
        <v>22</v>
      </c>
      <c r="F13" s="19">
        <v>39.653599999999997</v>
      </c>
      <c r="G13" s="19">
        <v>-105.13630000000001</v>
      </c>
      <c r="H13" s="28" t="s">
        <v>48</v>
      </c>
      <c r="I13" s="29">
        <v>45788</v>
      </c>
      <c r="J13" s="30">
        <f ca="1">IFERROR(__xludf.DUMMYFUNCTION("IF(I12="""", """", RANK(I12, FILTER(I:I, I:I&lt;&gt;""""), 1))
"),91)</f>
        <v>91</v>
      </c>
    </row>
    <row r="14" spans="1:10" ht="22.5" customHeight="1">
      <c r="A14" s="23" t="s">
        <v>49</v>
      </c>
      <c r="B14" s="9" t="s">
        <v>50</v>
      </c>
      <c r="C14" s="9" t="s">
        <v>51</v>
      </c>
      <c r="D14" s="9" t="s">
        <v>13</v>
      </c>
      <c r="E14" s="11" t="s">
        <v>22</v>
      </c>
      <c r="F14" s="19">
        <v>39.2376</v>
      </c>
      <c r="G14" s="19">
        <v>-104.82040000000001</v>
      </c>
      <c r="H14" s="13"/>
      <c r="I14" s="24">
        <v>43316</v>
      </c>
      <c r="J14" s="25">
        <f ca="1">IFERROR(__xludf.DUMMYFUNCTION("IF(I13="""", """", RANK(I13, FILTER(I:I, I:I&lt;&gt;""""), 1))
"),4)</f>
        <v>4</v>
      </c>
    </row>
    <row r="15" spans="1:10" ht="22.5" customHeight="1">
      <c r="A15" s="15" t="s">
        <v>52</v>
      </c>
      <c r="B15" s="16" t="s">
        <v>53</v>
      </c>
      <c r="C15" s="17" t="s">
        <v>54</v>
      </c>
      <c r="D15" s="17" t="s">
        <v>29</v>
      </c>
      <c r="E15" s="18" t="s">
        <v>30</v>
      </c>
      <c r="F15" s="19">
        <v>39.637300000000003</v>
      </c>
      <c r="G15" s="19">
        <v>-106.3742</v>
      </c>
      <c r="H15" s="20"/>
      <c r="I15" s="27"/>
      <c r="J15" s="20" t="str">
        <f ca="1">IFERROR(__xludf.DUMMYFUNCTION("IF(I14="""", """", RANK(I14, FILTER(I:I, I:I&lt;&gt;""""), 1))
"),"")</f>
        <v/>
      </c>
    </row>
    <row r="16" spans="1:10" ht="22.5" customHeight="1">
      <c r="A16" s="8" t="s">
        <v>55</v>
      </c>
      <c r="B16" s="31" t="s">
        <v>56</v>
      </c>
      <c r="C16" s="10" t="s">
        <v>57</v>
      </c>
      <c r="D16" s="10" t="s">
        <v>13</v>
      </c>
      <c r="E16" s="11" t="s">
        <v>40</v>
      </c>
      <c r="F16" s="19">
        <v>40.325899999999997</v>
      </c>
      <c r="G16" s="19">
        <v>-104.91379999999999</v>
      </c>
      <c r="H16" s="32" t="s">
        <v>48</v>
      </c>
      <c r="I16" s="33">
        <v>45898</v>
      </c>
      <c r="J16" s="34">
        <f ca="1">IFERROR(__xludf.DUMMYFUNCTION("IF(I15="""", """", RANK(I15, FILTER(I:I, I:I&lt;&gt;""""), 1))
"),113)</f>
        <v>113</v>
      </c>
    </row>
    <row r="17" spans="1:10" ht="22.5" customHeight="1">
      <c r="A17" s="8" t="s">
        <v>58</v>
      </c>
      <c r="B17" s="9" t="s">
        <v>59</v>
      </c>
      <c r="C17" s="17" t="s">
        <v>60</v>
      </c>
      <c r="D17" s="17" t="s">
        <v>13</v>
      </c>
      <c r="E17" s="18" t="s">
        <v>40</v>
      </c>
      <c r="F17" s="19">
        <v>40.099400000000003</v>
      </c>
      <c r="G17" s="19">
        <v>-104.9397</v>
      </c>
      <c r="H17" s="20"/>
      <c r="I17" s="27"/>
      <c r="J17" s="20" t="str">
        <f ca="1">IFERROR(__xludf.DUMMYFUNCTION("IF(I16="""", """", RANK(I16, FILTER(I:I, I:I&lt;&gt;""""), 1))
"),"")</f>
        <v/>
      </c>
    </row>
    <row r="18" spans="1:10" ht="22.5" customHeight="1">
      <c r="A18" s="15" t="s">
        <v>61</v>
      </c>
      <c r="B18" s="16" t="s">
        <v>62</v>
      </c>
      <c r="C18" s="10" t="s">
        <v>63</v>
      </c>
      <c r="D18" s="10" t="s">
        <v>13</v>
      </c>
      <c r="E18" s="11" t="s">
        <v>14</v>
      </c>
      <c r="F18" s="19">
        <v>38.477499999999999</v>
      </c>
      <c r="G18" s="19">
        <v>-107.87569999999999</v>
      </c>
      <c r="H18" s="13"/>
      <c r="I18" s="14"/>
      <c r="J18" s="13" t="str">
        <f ca="1">IFERROR(__xludf.DUMMYFUNCTION("IF(I17="""", """", RANK(I17, FILTER(I:I, I:I&lt;&gt;""""), 1))
"),"")</f>
        <v/>
      </c>
    </row>
    <row r="19" spans="1:10" ht="22.5" customHeight="1">
      <c r="A19" s="8" t="s">
        <v>64</v>
      </c>
      <c r="B19" s="9" t="s">
        <v>65</v>
      </c>
      <c r="C19" s="17" t="s">
        <v>66</v>
      </c>
      <c r="D19" s="17" t="s">
        <v>29</v>
      </c>
      <c r="E19" s="18" t="s">
        <v>14</v>
      </c>
      <c r="F19" s="19">
        <v>39.122999999999998</v>
      </c>
      <c r="G19" s="19">
        <v>-108.6122</v>
      </c>
      <c r="H19" s="20"/>
      <c r="I19" s="27"/>
      <c r="J19" s="20" t="str">
        <f ca="1">IFERROR(__xludf.DUMMYFUNCTION("IF(I18="""", """", RANK(I18, FILTER(I:I, I:I&lt;&gt;""""), 1))
"),"")</f>
        <v/>
      </c>
    </row>
    <row r="20" spans="1:10" ht="22.5" customHeight="1">
      <c r="A20" s="15" t="s">
        <v>67</v>
      </c>
      <c r="B20" s="17" t="s">
        <v>68</v>
      </c>
      <c r="C20" s="10" t="s">
        <v>69</v>
      </c>
      <c r="D20" s="10" t="s">
        <v>13</v>
      </c>
      <c r="E20" s="11" t="s">
        <v>40</v>
      </c>
      <c r="F20" s="19">
        <v>40.429299999999998</v>
      </c>
      <c r="G20" s="19">
        <v>-104.7968</v>
      </c>
      <c r="H20" s="13"/>
      <c r="I20" s="24">
        <v>45628</v>
      </c>
      <c r="J20" s="25">
        <f ca="1">IFERROR(__xludf.DUMMYFUNCTION("IF(I19="""", """", RANK(I19, FILTER(I:I, I:I&lt;&gt;""""), 1))
"),77)</f>
        <v>77</v>
      </c>
    </row>
    <row r="21" spans="1:10" ht="22.5" customHeight="1">
      <c r="A21" s="26" t="s">
        <v>70</v>
      </c>
      <c r="B21" s="17" t="s">
        <v>68</v>
      </c>
      <c r="C21" s="16" t="s">
        <v>69</v>
      </c>
      <c r="D21" s="16" t="s">
        <v>13</v>
      </c>
      <c r="E21" s="18" t="s">
        <v>40</v>
      </c>
      <c r="F21" s="19">
        <v>40.428921000000003</v>
      </c>
      <c r="G21" s="35">
        <v>-104.79858299999999</v>
      </c>
      <c r="H21" s="28" t="s">
        <v>48</v>
      </c>
      <c r="I21" s="29">
        <v>45884</v>
      </c>
      <c r="J21" s="30">
        <f ca="1">IFERROR(__xludf.DUMMYFUNCTION("IF(I20="""", """", RANK(I20, FILTER(I:I, I:I&lt;&gt;""""), 1))
"),110)</f>
        <v>110</v>
      </c>
    </row>
    <row r="22" spans="1:10" ht="22.5" customHeight="1">
      <c r="A22" s="23" t="s">
        <v>71</v>
      </c>
      <c r="B22" s="9" t="s">
        <v>72</v>
      </c>
      <c r="C22" s="9" t="s">
        <v>73</v>
      </c>
      <c r="D22" s="9" t="s">
        <v>29</v>
      </c>
      <c r="E22" s="11" t="s">
        <v>22</v>
      </c>
      <c r="F22" s="19">
        <v>40.0625</v>
      </c>
      <c r="G22" s="12">
        <v>-105.18467699999999</v>
      </c>
      <c r="H22" s="13"/>
      <c r="I22" s="14"/>
      <c r="J22" s="13" t="str">
        <f ca="1">IFERROR(__xludf.DUMMYFUNCTION("IF(I21="""", """", RANK(I21, FILTER(I:I, I:I&lt;&gt;""""), 1))
"),"")</f>
        <v/>
      </c>
    </row>
    <row r="23" spans="1:10" ht="22.5" customHeight="1">
      <c r="A23" s="26" t="s">
        <v>74</v>
      </c>
      <c r="B23" s="16" t="s">
        <v>72</v>
      </c>
      <c r="C23" s="16" t="s">
        <v>73</v>
      </c>
      <c r="D23" s="16" t="s">
        <v>29</v>
      </c>
      <c r="E23" s="18" t="s">
        <v>22</v>
      </c>
      <c r="F23" s="19">
        <v>40.067129999999999</v>
      </c>
      <c r="G23" s="35">
        <v>-105.18952299999999</v>
      </c>
      <c r="H23" s="20"/>
      <c r="I23" s="27"/>
      <c r="J23" s="20" t="str">
        <f ca="1">IFERROR(__xludf.DUMMYFUNCTION("IF(I22="""", """", RANK(I22, FILTER(I:I, I:I&lt;&gt;""""), 1))
"),"")</f>
        <v/>
      </c>
    </row>
    <row r="24" spans="1:10" ht="22.5" customHeight="1">
      <c r="A24" s="8" t="s">
        <v>75</v>
      </c>
      <c r="B24" s="10" t="s">
        <v>76</v>
      </c>
      <c r="C24" s="10" t="s">
        <v>77</v>
      </c>
      <c r="D24" s="10" t="s">
        <v>13</v>
      </c>
      <c r="E24" s="11" t="s">
        <v>30</v>
      </c>
      <c r="F24" s="19">
        <v>39.515700000000002</v>
      </c>
      <c r="G24" s="19">
        <v>-106.04259999999999</v>
      </c>
      <c r="H24" s="13"/>
      <c r="I24" s="14"/>
      <c r="J24" s="13" t="str">
        <f ca="1">IFERROR(__xludf.DUMMYFUNCTION("IF(I23="""", """", RANK(I23, FILTER(I:I, I:I&lt;&gt;""""), 1))
"),"")</f>
        <v/>
      </c>
    </row>
    <row r="25" spans="1:10" ht="22.5" customHeight="1">
      <c r="A25" s="15" t="s">
        <v>78</v>
      </c>
      <c r="B25" s="17" t="s">
        <v>76</v>
      </c>
      <c r="C25" s="17" t="s">
        <v>77</v>
      </c>
      <c r="D25" s="17" t="s">
        <v>13</v>
      </c>
      <c r="E25" s="18" t="s">
        <v>30</v>
      </c>
      <c r="F25" s="19">
        <v>39.515700000000002</v>
      </c>
      <c r="G25" s="19">
        <v>-106.04259999999999</v>
      </c>
      <c r="H25" s="20"/>
      <c r="I25" s="27"/>
      <c r="J25" s="20" t="str">
        <f ca="1">IFERROR(__xludf.DUMMYFUNCTION("IF(I24="""", """", RANK(I24, FILTER(I:I, I:I&lt;&gt;""""), 1))
"),"")</f>
        <v/>
      </c>
    </row>
    <row r="26" spans="1:10" ht="22.5" customHeight="1">
      <c r="A26" s="8" t="s">
        <v>79</v>
      </c>
      <c r="B26" s="10" t="s">
        <v>76</v>
      </c>
      <c r="C26" s="10" t="s">
        <v>77</v>
      </c>
      <c r="D26" s="10" t="s">
        <v>13</v>
      </c>
      <c r="E26" s="11" t="s">
        <v>30</v>
      </c>
      <c r="F26" s="19">
        <v>39.515700000000002</v>
      </c>
      <c r="G26" s="19">
        <v>-106.04259999999999</v>
      </c>
      <c r="H26" s="13"/>
      <c r="I26" s="14"/>
      <c r="J26" s="13" t="str">
        <f ca="1">IFERROR(__xludf.DUMMYFUNCTION("IF(I25="""", """", RANK(I25, FILTER(I:I, I:I&lt;&gt;""""), 1))
"),"")</f>
        <v/>
      </c>
    </row>
    <row r="27" spans="1:10" ht="22.5" customHeight="1">
      <c r="A27" s="15" t="s">
        <v>80</v>
      </c>
      <c r="B27" s="17" t="s">
        <v>81</v>
      </c>
      <c r="C27" s="17" t="s">
        <v>63</v>
      </c>
      <c r="D27" s="17" t="s">
        <v>82</v>
      </c>
      <c r="E27" s="18" t="s">
        <v>14</v>
      </c>
      <c r="F27" s="19">
        <v>38.460799999999999</v>
      </c>
      <c r="G27" s="19">
        <v>-107.839</v>
      </c>
      <c r="H27" s="20"/>
      <c r="I27" s="27"/>
      <c r="J27" s="20" t="str">
        <f ca="1">IFERROR(__xludf.DUMMYFUNCTION("IF(I26="""", """", RANK(I26, FILTER(I:I, I:I&lt;&gt;""""), 1))
"),"")</f>
        <v/>
      </c>
    </row>
    <row r="28" spans="1:10" ht="22.5" customHeight="1">
      <c r="A28" s="23" t="s">
        <v>83</v>
      </c>
      <c r="B28" s="9" t="s">
        <v>84</v>
      </c>
      <c r="C28" s="9" t="s">
        <v>85</v>
      </c>
      <c r="D28" s="9" t="s">
        <v>13</v>
      </c>
      <c r="E28" s="11" t="s">
        <v>22</v>
      </c>
      <c r="F28" s="19">
        <v>39.955390999999999</v>
      </c>
      <c r="G28" s="19">
        <v>-105.03984800000001</v>
      </c>
      <c r="H28" s="75" t="s">
        <v>691</v>
      </c>
      <c r="I28" s="33">
        <v>46055</v>
      </c>
      <c r="J28" s="34">
        <f ca="1">IFERROR(__xludf.DUMMYFUNCTION("IF(I27="""", """", RANK(I27, FILTER(I:I, I:I&lt;&gt;""""), 1))
"),124)</f>
        <v>124</v>
      </c>
    </row>
    <row r="29" spans="1:10" ht="22.5" customHeight="1">
      <c r="A29" s="15" t="s">
        <v>86</v>
      </c>
      <c r="B29" s="17" t="s">
        <v>87</v>
      </c>
      <c r="C29" s="17" t="s">
        <v>88</v>
      </c>
      <c r="D29" s="17" t="s">
        <v>29</v>
      </c>
      <c r="E29" s="18" t="s">
        <v>18</v>
      </c>
      <c r="F29" s="35">
        <v>38.788274000000001</v>
      </c>
      <c r="G29" s="35">
        <v>-104.850594</v>
      </c>
      <c r="H29" s="20"/>
      <c r="I29" s="21">
        <v>44385</v>
      </c>
      <c r="J29" s="22">
        <f ca="1">IFERROR(__xludf.DUMMYFUNCTION("IF(I28="""", """", RANK(I28, FILTER(I:I, I:I&lt;&gt;""""), 1))
"),26)</f>
        <v>26</v>
      </c>
    </row>
    <row r="30" spans="1:10" ht="22.5" customHeight="1">
      <c r="A30" s="8" t="s">
        <v>89</v>
      </c>
      <c r="B30" s="10" t="s">
        <v>87</v>
      </c>
      <c r="C30" s="10" t="s">
        <v>88</v>
      </c>
      <c r="D30" s="10" t="s">
        <v>29</v>
      </c>
      <c r="E30" s="11" t="s">
        <v>18</v>
      </c>
      <c r="F30" s="35">
        <v>38.788932000000003</v>
      </c>
      <c r="G30" s="12">
        <v>-104.85068800000001</v>
      </c>
      <c r="H30" s="32" t="s">
        <v>48</v>
      </c>
      <c r="I30" s="24">
        <v>44405</v>
      </c>
      <c r="J30" s="25">
        <f ca="1">IFERROR(__xludf.DUMMYFUNCTION("IF(I29="""", """", RANK(I29, FILTER(I:I, I:I&lt;&gt;""""), 1))
"),29)</f>
        <v>29</v>
      </c>
    </row>
    <row r="31" spans="1:10" ht="22.5" customHeight="1">
      <c r="A31" s="26" t="s">
        <v>90</v>
      </c>
      <c r="B31" s="16" t="s">
        <v>91</v>
      </c>
      <c r="C31" s="16" t="s">
        <v>92</v>
      </c>
      <c r="D31" s="16" t="s">
        <v>13</v>
      </c>
      <c r="E31" s="18" t="s">
        <v>22</v>
      </c>
      <c r="F31" s="19">
        <v>39.643493999999997</v>
      </c>
      <c r="G31" s="35">
        <v>-105.013176</v>
      </c>
      <c r="H31" s="28" t="s">
        <v>48</v>
      </c>
      <c r="I31" s="29">
        <v>45799</v>
      </c>
      <c r="J31" s="30">
        <v>96</v>
      </c>
    </row>
    <row r="32" spans="1:10" ht="22.5" customHeight="1">
      <c r="A32" s="23" t="s">
        <v>93</v>
      </c>
      <c r="B32" s="9" t="s">
        <v>91</v>
      </c>
      <c r="C32" s="9" t="s">
        <v>92</v>
      </c>
      <c r="D32" s="9" t="s">
        <v>13</v>
      </c>
      <c r="E32" s="11" t="s">
        <v>22</v>
      </c>
      <c r="F32" s="12">
        <v>39.645839000000002</v>
      </c>
      <c r="G32" s="12">
        <v>-105.011111</v>
      </c>
      <c r="H32" s="32" t="s">
        <v>48</v>
      </c>
      <c r="I32" s="33">
        <v>45799</v>
      </c>
      <c r="J32" s="34">
        <f ca="1">IFERROR(__xludf.DUMMYFUNCTION("IF(I31="""", """", RANK(I31, FILTER(I:I, I:I&lt;&gt;""""), 1))
"),95)</f>
        <v>95</v>
      </c>
    </row>
    <row r="33" spans="1:10" ht="22.5" customHeight="1">
      <c r="A33" s="26" t="s">
        <v>94</v>
      </c>
      <c r="B33" s="16" t="s">
        <v>95</v>
      </c>
      <c r="C33" s="16" t="s">
        <v>96</v>
      </c>
      <c r="D33" s="16" t="s">
        <v>13</v>
      </c>
      <c r="E33" s="18" t="s">
        <v>22</v>
      </c>
      <c r="F33" s="19">
        <v>39.898600000000002</v>
      </c>
      <c r="G33" s="19">
        <v>-104.80889999999999</v>
      </c>
      <c r="H33" s="20"/>
      <c r="I33" s="27"/>
      <c r="J33" s="20" t="str">
        <f ca="1">IFERROR(__xludf.DUMMYFUNCTION("IF(I32="""", """", RANK(I32, FILTER(I:I, I:I&lt;&gt;""""), 1))
"),"")</f>
        <v/>
      </c>
    </row>
    <row r="34" spans="1:10" ht="22.5" customHeight="1">
      <c r="A34" s="23" t="s">
        <v>97</v>
      </c>
      <c r="B34" s="9" t="s">
        <v>98</v>
      </c>
      <c r="C34" s="9" t="s">
        <v>99</v>
      </c>
      <c r="D34" s="9" t="s">
        <v>29</v>
      </c>
      <c r="E34" s="11" t="s">
        <v>22</v>
      </c>
      <c r="F34" s="19">
        <v>39.409500000000001</v>
      </c>
      <c r="G34" s="19">
        <v>-104.8626</v>
      </c>
      <c r="H34" s="13"/>
      <c r="I34" s="14"/>
      <c r="J34" s="13" t="str">
        <f ca="1">IFERROR(__xludf.DUMMYFUNCTION("IF(I33="""", """", RANK(I33, FILTER(I:I, I:I&lt;&gt;""""), 1))
"),"")</f>
        <v/>
      </c>
    </row>
    <row r="35" spans="1:10" ht="22.5" customHeight="1">
      <c r="A35" s="26" t="s">
        <v>100</v>
      </c>
      <c r="B35" s="16" t="s">
        <v>101</v>
      </c>
      <c r="C35" s="16" t="s">
        <v>99</v>
      </c>
      <c r="D35" s="16" t="s">
        <v>29</v>
      </c>
      <c r="E35" s="18" t="s">
        <v>22</v>
      </c>
      <c r="F35" s="19">
        <v>39.421799999999998</v>
      </c>
      <c r="G35" s="19">
        <v>-104.88930000000001</v>
      </c>
      <c r="H35" s="20"/>
      <c r="I35" s="21">
        <v>45147</v>
      </c>
      <c r="J35" s="22">
        <f ca="1">IFERROR(__xludf.DUMMYFUNCTION("IF(I34="""", """", RANK(I34, FILTER(I:I, I:I&lt;&gt;""""), 1))
"),53)</f>
        <v>53</v>
      </c>
    </row>
    <row r="36" spans="1:10" ht="22.5" customHeight="1">
      <c r="A36" s="8" t="s">
        <v>102</v>
      </c>
      <c r="B36" s="10" t="s">
        <v>103</v>
      </c>
      <c r="C36" s="10" t="s">
        <v>104</v>
      </c>
      <c r="D36" s="10" t="s">
        <v>29</v>
      </c>
      <c r="E36" s="11" t="s">
        <v>30</v>
      </c>
      <c r="F36" s="19">
        <v>40.540599999999998</v>
      </c>
      <c r="G36" s="19">
        <v>-106.8972</v>
      </c>
      <c r="H36" s="13"/>
      <c r="I36" s="14"/>
      <c r="J36" s="13" t="str">
        <f ca="1">IFERROR(__xludf.DUMMYFUNCTION("IF(I35="""", """", RANK(I35, FILTER(I:I, I:I&lt;&gt;""""), 1))
"),"")</f>
        <v/>
      </c>
    </row>
    <row r="37" spans="1:10" ht="22.5" customHeight="1">
      <c r="A37" s="15" t="s">
        <v>105</v>
      </c>
      <c r="B37" s="17" t="s">
        <v>106</v>
      </c>
      <c r="C37" s="17" t="s">
        <v>107</v>
      </c>
      <c r="D37" s="17" t="s">
        <v>13</v>
      </c>
      <c r="E37" s="18" t="s">
        <v>40</v>
      </c>
      <c r="F37" s="19">
        <v>40.420499999999997</v>
      </c>
      <c r="G37" s="19">
        <v>-105.10469999999999</v>
      </c>
      <c r="H37" s="20"/>
      <c r="I37" s="27"/>
      <c r="J37" s="20" t="str">
        <f ca="1">IFERROR(__xludf.DUMMYFUNCTION("IF(I36="""", """", RANK(I36, FILTER(I:I, I:I&lt;&gt;""""), 1))
"),"")</f>
        <v/>
      </c>
    </row>
    <row r="38" spans="1:10" ht="22.5" customHeight="1">
      <c r="A38" s="8" t="s">
        <v>108</v>
      </c>
      <c r="B38" s="10" t="s">
        <v>109</v>
      </c>
      <c r="C38" s="10" t="s">
        <v>110</v>
      </c>
      <c r="D38" s="10" t="s">
        <v>13</v>
      </c>
      <c r="E38" s="11" t="s">
        <v>14</v>
      </c>
      <c r="F38" s="19">
        <v>40.087400000000002</v>
      </c>
      <c r="G38" s="19">
        <v>-108.8023</v>
      </c>
      <c r="H38" s="13"/>
      <c r="I38" s="14"/>
      <c r="J38" s="13" t="str">
        <f ca="1">IFERROR(__xludf.DUMMYFUNCTION("IF(I37="""", """", RANK(I37, FILTER(I:I, I:I&lt;&gt;""""), 1))
"),"")</f>
        <v/>
      </c>
    </row>
    <row r="39" spans="1:10" ht="22.5" customHeight="1">
      <c r="A39" s="15" t="s">
        <v>111</v>
      </c>
      <c r="B39" s="17" t="s">
        <v>112</v>
      </c>
      <c r="C39" s="17" t="s">
        <v>113</v>
      </c>
      <c r="D39" s="17" t="s">
        <v>13</v>
      </c>
      <c r="E39" s="18" t="s">
        <v>14</v>
      </c>
      <c r="F39" s="19">
        <v>38.905200000000001</v>
      </c>
      <c r="G39" s="19">
        <v>-107.9254</v>
      </c>
      <c r="H39" s="20"/>
      <c r="I39" s="27"/>
      <c r="J39" s="20" t="str">
        <f ca="1">IFERROR(__xludf.DUMMYFUNCTION("IF(I38="""", """", RANK(I38, FILTER(I:I, I:I&lt;&gt;""""), 1))
"),"")</f>
        <v/>
      </c>
    </row>
    <row r="40" spans="1:10" ht="22.5" customHeight="1">
      <c r="A40" s="8" t="s">
        <v>114</v>
      </c>
      <c r="B40" s="10" t="s">
        <v>115</v>
      </c>
      <c r="C40" s="10" t="s">
        <v>116</v>
      </c>
      <c r="D40" s="10" t="s">
        <v>13</v>
      </c>
      <c r="E40" s="11" t="s">
        <v>30</v>
      </c>
      <c r="F40" s="19">
        <v>37.996899999999997</v>
      </c>
      <c r="G40" s="19">
        <v>-105.7012</v>
      </c>
      <c r="H40" s="13"/>
      <c r="I40" s="14"/>
      <c r="J40" s="13" t="str">
        <f ca="1">IFERROR(__xludf.DUMMYFUNCTION("IF(I39="""", """", RANK(I39, FILTER(I:I, I:I&lt;&gt;""""), 1))
"),"")</f>
        <v/>
      </c>
    </row>
    <row r="41" spans="1:10" ht="22.5" customHeight="1">
      <c r="A41" s="15" t="s">
        <v>117</v>
      </c>
      <c r="B41" s="17" t="s">
        <v>118</v>
      </c>
      <c r="C41" s="17" t="s">
        <v>88</v>
      </c>
      <c r="D41" s="17" t="s">
        <v>13</v>
      </c>
      <c r="E41" s="18" t="s">
        <v>18</v>
      </c>
      <c r="F41" s="35">
        <v>38.858866999999996</v>
      </c>
      <c r="G41" s="35">
        <v>-104.71347900000001</v>
      </c>
      <c r="H41" s="28" t="s">
        <v>48</v>
      </c>
      <c r="I41" s="21">
        <v>43700</v>
      </c>
      <c r="J41" s="22">
        <f ca="1">IFERROR(__xludf.DUMMYFUNCTION("IF(I40="""", """", RANK(I40, FILTER(I:I, I:I&lt;&gt;""""), 1))
"),9)</f>
        <v>9</v>
      </c>
    </row>
    <row r="42" spans="1:10" ht="22.5" customHeight="1">
      <c r="A42" s="8" t="s">
        <v>119</v>
      </c>
      <c r="B42" s="10" t="s">
        <v>118</v>
      </c>
      <c r="C42" s="10" t="s">
        <v>88</v>
      </c>
      <c r="D42" s="10" t="s">
        <v>13</v>
      </c>
      <c r="E42" s="11" t="s">
        <v>18</v>
      </c>
      <c r="F42" s="12">
        <v>38.857874000000002</v>
      </c>
      <c r="G42" s="12">
        <v>-104.714355</v>
      </c>
      <c r="H42" s="13"/>
      <c r="I42" s="24">
        <v>44136</v>
      </c>
      <c r="J42" s="25">
        <f ca="1">IFERROR(__xludf.DUMMYFUNCTION("IF(I41="""", """", RANK(I41, FILTER(I:I, I:I&lt;&gt;""""), 1))
"),21)</f>
        <v>21</v>
      </c>
    </row>
    <row r="43" spans="1:10" ht="22.5" customHeight="1">
      <c r="A43" s="26" t="s">
        <v>120</v>
      </c>
      <c r="B43" s="16" t="s">
        <v>121</v>
      </c>
      <c r="C43" s="16" t="s">
        <v>47</v>
      </c>
      <c r="D43" s="16" t="s">
        <v>29</v>
      </c>
      <c r="E43" s="18" t="s">
        <v>22</v>
      </c>
      <c r="F43" s="19">
        <v>39.672600000000003</v>
      </c>
      <c r="G43" s="19">
        <v>-104.8847</v>
      </c>
      <c r="H43" s="28" t="s">
        <v>48</v>
      </c>
      <c r="I43" s="21">
        <v>45133</v>
      </c>
      <c r="J43" s="22">
        <f ca="1">IFERROR(__xludf.DUMMYFUNCTION("IF(I42="""", """", RANK(I42, FILTER(I:I, I:I&lt;&gt;""""), 1))
"),51)</f>
        <v>51</v>
      </c>
    </row>
    <row r="44" spans="1:10" ht="22.5" customHeight="1">
      <c r="A44" s="23" t="s">
        <v>122</v>
      </c>
      <c r="B44" s="9" t="s">
        <v>123</v>
      </c>
      <c r="C44" s="9" t="s">
        <v>124</v>
      </c>
      <c r="D44" s="9" t="s">
        <v>29</v>
      </c>
      <c r="E44" s="11" t="s">
        <v>22</v>
      </c>
      <c r="F44" s="19">
        <v>39.641800000000003</v>
      </c>
      <c r="G44" s="19">
        <v>-104.9594</v>
      </c>
      <c r="H44" s="32" t="s">
        <v>48</v>
      </c>
      <c r="I44" s="24">
        <v>45161</v>
      </c>
      <c r="J44" s="25">
        <f ca="1">IFERROR(__xludf.DUMMYFUNCTION("IF(I43="""", """", RANK(I43, FILTER(I:I, I:I&lt;&gt;""""), 1))
"),56)</f>
        <v>56</v>
      </c>
    </row>
    <row r="45" spans="1:10" ht="22.5" customHeight="1">
      <c r="A45" s="26" t="s">
        <v>125</v>
      </c>
      <c r="B45" s="16" t="s">
        <v>123</v>
      </c>
      <c r="C45" s="16" t="s">
        <v>124</v>
      </c>
      <c r="D45" s="16" t="s">
        <v>29</v>
      </c>
      <c r="E45" s="18" t="s">
        <v>22</v>
      </c>
      <c r="F45" s="35">
        <v>39.645223000000001</v>
      </c>
      <c r="G45" s="35">
        <v>-104.960903</v>
      </c>
      <c r="H45" s="20"/>
      <c r="I45" s="27"/>
      <c r="J45" s="20" t="str">
        <f ca="1">IFERROR(__xludf.DUMMYFUNCTION("IF(I44="""", """", RANK(I44, FILTER(I:I, I:I&lt;&gt;""""), 1))
"),"")</f>
        <v/>
      </c>
    </row>
    <row r="46" spans="1:10" ht="22.5" customHeight="1">
      <c r="A46" s="8" t="s">
        <v>126</v>
      </c>
      <c r="B46" s="10" t="s">
        <v>127</v>
      </c>
      <c r="C46" s="10" t="s">
        <v>128</v>
      </c>
      <c r="D46" s="10" t="s">
        <v>13</v>
      </c>
      <c r="E46" s="11" t="s">
        <v>18</v>
      </c>
      <c r="F46" s="19">
        <v>38.726900000000001</v>
      </c>
      <c r="G46" s="19">
        <v>-104.7942</v>
      </c>
      <c r="H46" s="32" t="s">
        <v>48</v>
      </c>
      <c r="I46" s="24">
        <v>43343</v>
      </c>
      <c r="J46" s="25">
        <f ca="1">IFERROR(__xludf.DUMMYFUNCTION("IF(I45="""", """", RANK(I45, FILTER(I:I, I:I&lt;&gt;""""), 1))
"),5)</f>
        <v>5</v>
      </c>
    </row>
    <row r="47" spans="1:10" ht="22.5" customHeight="1">
      <c r="A47" s="15" t="s">
        <v>129</v>
      </c>
      <c r="B47" s="17" t="s">
        <v>130</v>
      </c>
      <c r="C47" s="17" t="s">
        <v>66</v>
      </c>
      <c r="D47" s="17" t="s">
        <v>13</v>
      </c>
      <c r="E47" s="18" t="s">
        <v>14</v>
      </c>
      <c r="F47" s="19">
        <v>39.043700000000001</v>
      </c>
      <c r="G47" s="19">
        <v>-108.5535</v>
      </c>
      <c r="H47" s="20"/>
      <c r="I47" s="27"/>
      <c r="J47" s="20" t="str">
        <f ca="1">IFERROR(__xludf.DUMMYFUNCTION("IF(I46="""", """", RANK(I46, FILTER(I:I, I:I&lt;&gt;""""), 1))
"),"")</f>
        <v/>
      </c>
    </row>
    <row r="48" spans="1:10" ht="22.5" customHeight="1">
      <c r="A48" s="23" t="s">
        <v>131</v>
      </c>
      <c r="B48" s="9" t="s">
        <v>132</v>
      </c>
      <c r="C48" s="9" t="s">
        <v>47</v>
      </c>
      <c r="D48" s="9" t="s">
        <v>13</v>
      </c>
      <c r="E48" s="11" t="s">
        <v>22</v>
      </c>
      <c r="F48" s="19">
        <v>39.752099999999999</v>
      </c>
      <c r="G48" s="19">
        <v>-104.9487</v>
      </c>
      <c r="H48" s="32" t="s">
        <v>48</v>
      </c>
      <c r="I48" s="24">
        <v>45131</v>
      </c>
      <c r="J48" s="25">
        <f ca="1">IFERROR(__xludf.DUMMYFUNCTION("IF(I47="""", """", RANK(I47, FILTER(I:I, I:I&lt;&gt;""""), 1))
"),50)</f>
        <v>50</v>
      </c>
    </row>
    <row r="49" spans="1:10" ht="22.5" customHeight="1">
      <c r="A49" s="15" t="s">
        <v>133</v>
      </c>
      <c r="B49" s="17" t="s">
        <v>134</v>
      </c>
      <c r="C49" s="17" t="s">
        <v>135</v>
      </c>
      <c r="D49" s="17" t="s">
        <v>13</v>
      </c>
      <c r="E49" s="18" t="s">
        <v>40</v>
      </c>
      <c r="F49" s="19">
        <v>40.579799999999999</v>
      </c>
      <c r="G49" s="19">
        <v>-105.0873</v>
      </c>
      <c r="H49" s="20"/>
      <c r="I49" s="27"/>
      <c r="J49" s="20" t="str">
        <f ca="1">IFERROR(__xludf.DUMMYFUNCTION("IF(I48="""", """", RANK(I48, FILTER(I:I, I:I&lt;&gt;""""), 1))
"),"")</f>
        <v/>
      </c>
    </row>
    <row r="50" spans="1:10" ht="22.5" customHeight="1">
      <c r="A50" s="8" t="s">
        <v>136</v>
      </c>
      <c r="B50" s="10" t="s">
        <v>137</v>
      </c>
      <c r="C50" s="10" t="s">
        <v>138</v>
      </c>
      <c r="D50" s="10" t="s">
        <v>29</v>
      </c>
      <c r="E50" s="11" t="s">
        <v>22</v>
      </c>
      <c r="F50" s="19">
        <v>39.507666</v>
      </c>
      <c r="G50" s="19">
        <f>H53-104.724169</f>
        <v>-104.724169</v>
      </c>
      <c r="H50" s="13"/>
      <c r="I50" s="14"/>
      <c r="J50" s="13" t="str">
        <f ca="1">IFERROR(__xludf.DUMMYFUNCTION("IF(I49="""", """", RANK(I49, FILTER(I:I, I:I&lt;&gt;""""), 1))
"),"")</f>
        <v/>
      </c>
    </row>
    <row r="51" spans="1:10" ht="22.5" customHeight="1">
      <c r="A51" s="15" t="s">
        <v>139</v>
      </c>
      <c r="B51" s="17" t="s">
        <v>140</v>
      </c>
      <c r="C51" s="17" t="s">
        <v>36</v>
      </c>
      <c r="D51" s="17" t="s">
        <v>29</v>
      </c>
      <c r="E51" s="18" t="s">
        <v>22</v>
      </c>
      <c r="F51" s="19">
        <v>39.574300000000001</v>
      </c>
      <c r="G51" s="19">
        <v>-104.7302</v>
      </c>
      <c r="H51" s="28" t="s">
        <v>48</v>
      </c>
      <c r="I51" s="29">
        <v>45794</v>
      </c>
      <c r="J51" s="30">
        <f ca="1">IFERROR(__xludf.DUMMYFUNCTION("IF(I50="""", """", RANK(I50, FILTER(I:I, I:I&lt;&gt;""""), 1))
"),93)</f>
        <v>93</v>
      </c>
    </row>
    <row r="52" spans="1:10" ht="22.5" customHeight="1">
      <c r="A52" s="8" t="s">
        <v>141</v>
      </c>
      <c r="B52" s="10" t="s">
        <v>142</v>
      </c>
      <c r="C52" s="10" t="s">
        <v>143</v>
      </c>
      <c r="D52" s="10" t="s">
        <v>13</v>
      </c>
      <c r="E52" s="11" t="s">
        <v>22</v>
      </c>
      <c r="F52" s="19">
        <v>39.958799999999997</v>
      </c>
      <c r="G52" s="19">
        <v>-105.1472</v>
      </c>
      <c r="H52" s="13"/>
      <c r="I52" s="14"/>
      <c r="J52" s="13" t="str">
        <f ca="1">IFERROR(__xludf.DUMMYFUNCTION("IF(I51="""", """", RANK(I51, FILTER(I:I, I:I&lt;&gt;""""), 1))
"),"")</f>
        <v/>
      </c>
    </row>
    <row r="53" spans="1:10" ht="22.5" customHeight="1">
      <c r="A53" s="15" t="s">
        <v>144</v>
      </c>
      <c r="B53" s="17" t="s">
        <v>145</v>
      </c>
      <c r="C53" s="17" t="s">
        <v>63</v>
      </c>
      <c r="D53" s="17" t="s">
        <v>82</v>
      </c>
      <c r="E53" s="18" t="s">
        <v>14</v>
      </c>
      <c r="F53" s="19">
        <v>38.474600000000002</v>
      </c>
      <c r="G53" s="19">
        <v>-107.8583</v>
      </c>
      <c r="H53" s="20"/>
      <c r="I53" s="27"/>
      <c r="J53" s="20" t="str">
        <f ca="1">IFERROR(__xludf.DUMMYFUNCTION("IF(I52="""", """", RANK(I52, FILTER(I:I, I:I&lt;&gt;""""), 1))
"),"")</f>
        <v/>
      </c>
    </row>
    <row r="54" spans="1:10" ht="22.5" customHeight="1">
      <c r="A54" s="8" t="s">
        <v>146</v>
      </c>
      <c r="B54" s="10" t="s">
        <v>147</v>
      </c>
      <c r="C54" s="10" t="s">
        <v>148</v>
      </c>
      <c r="D54" s="10" t="s">
        <v>13</v>
      </c>
      <c r="E54" s="11" t="s">
        <v>30</v>
      </c>
      <c r="F54" s="19">
        <v>38.838900000000002</v>
      </c>
      <c r="G54" s="19">
        <v>-106.13120000000001</v>
      </c>
      <c r="H54" s="13"/>
      <c r="I54" s="14"/>
      <c r="J54" s="13" t="str">
        <f ca="1">IFERROR(__xludf.DUMMYFUNCTION("IF(I53="""", """", RANK(I53, FILTER(I:I, I:I&lt;&gt;""""), 1))
"),"")</f>
        <v/>
      </c>
    </row>
    <row r="55" spans="1:10" ht="22.5" customHeight="1">
      <c r="A55" s="15" t="s">
        <v>149</v>
      </c>
      <c r="B55" s="17" t="s">
        <v>150</v>
      </c>
      <c r="C55" s="17" t="s">
        <v>135</v>
      </c>
      <c r="D55" s="17" t="s">
        <v>13</v>
      </c>
      <c r="E55" s="18" t="s">
        <v>40</v>
      </c>
      <c r="F55" s="19">
        <v>40.537399999999998</v>
      </c>
      <c r="G55" s="19">
        <v>-105.0526</v>
      </c>
      <c r="H55" s="20"/>
      <c r="I55" s="27"/>
      <c r="J55" s="20" t="str">
        <f ca="1">IFERROR(__xludf.DUMMYFUNCTION("IF(I54="""", """", RANK(I54, FILTER(I:I, I:I&lt;&gt;""""), 1))
"),"")</f>
        <v/>
      </c>
    </row>
    <row r="56" spans="1:10" ht="22.5" customHeight="1">
      <c r="A56" s="8" t="s">
        <v>151</v>
      </c>
      <c r="B56" s="10" t="s">
        <v>152</v>
      </c>
      <c r="C56" s="10" t="s">
        <v>138</v>
      </c>
      <c r="D56" s="10" t="s">
        <v>29</v>
      </c>
      <c r="E56" s="11" t="s">
        <v>22</v>
      </c>
      <c r="F56" s="12">
        <v>39.477328999999997</v>
      </c>
      <c r="G56" s="12">
        <v>-104.73547499999999</v>
      </c>
      <c r="H56" s="36"/>
      <c r="I56" s="24">
        <v>45218</v>
      </c>
      <c r="J56" s="25">
        <f ca="1">IFERROR(__xludf.DUMMYFUNCTION("IF(I55="""", """", RANK(I55, FILTER(I:I, I:I&lt;&gt;""""), 1))
"),60)</f>
        <v>60</v>
      </c>
    </row>
    <row r="57" spans="1:10" ht="22.5" customHeight="1">
      <c r="A57" s="15" t="s">
        <v>153</v>
      </c>
      <c r="B57" s="17" t="s">
        <v>152</v>
      </c>
      <c r="C57" s="17" t="s">
        <v>138</v>
      </c>
      <c r="D57" s="17" t="s">
        <v>29</v>
      </c>
      <c r="E57" s="18" t="s">
        <v>22</v>
      </c>
      <c r="F57" s="35">
        <v>39.475441000000004</v>
      </c>
      <c r="G57" s="35">
        <v>-104.729111</v>
      </c>
      <c r="H57" s="20"/>
      <c r="I57" s="27"/>
      <c r="J57" s="20" t="str">
        <f ca="1">IFERROR(__xludf.DUMMYFUNCTION("IF(I56="""", """", RANK(I56, FILTER(I:I, I:I&lt;&gt;""""), 1))
"),"")</f>
        <v/>
      </c>
    </row>
    <row r="58" spans="1:10" ht="22.5" customHeight="1">
      <c r="A58" s="8" t="s">
        <v>154</v>
      </c>
      <c r="B58" s="19" t="s">
        <v>155</v>
      </c>
      <c r="C58" s="10" t="s">
        <v>156</v>
      </c>
      <c r="D58" s="10" t="s">
        <v>13</v>
      </c>
      <c r="E58" s="11" t="s">
        <v>22</v>
      </c>
      <c r="F58" s="19">
        <v>40.0518</v>
      </c>
      <c r="G58" s="19">
        <v>-105.0496</v>
      </c>
      <c r="H58" s="13"/>
      <c r="I58" s="24">
        <v>45712</v>
      </c>
      <c r="J58" s="25">
        <f ca="1">IFERROR(__xludf.DUMMYFUNCTION("IF(I57="""", """", RANK(I57, FILTER(I:I, I:I&lt;&gt;""""), 1))
"),78)</f>
        <v>78</v>
      </c>
    </row>
    <row r="59" spans="1:10" ht="22.5" customHeight="1">
      <c r="A59" s="15" t="s">
        <v>157</v>
      </c>
      <c r="B59" s="19" t="s">
        <v>158</v>
      </c>
      <c r="C59" s="17" t="s">
        <v>88</v>
      </c>
      <c r="D59" s="17" t="s">
        <v>29</v>
      </c>
      <c r="E59" s="18" t="s">
        <v>18</v>
      </c>
      <c r="F59" s="19">
        <v>38.880299999999998</v>
      </c>
      <c r="G59" s="19">
        <v>-104.7739</v>
      </c>
      <c r="H59" s="20"/>
      <c r="I59" s="21">
        <v>43698</v>
      </c>
      <c r="J59" s="22">
        <f ca="1">IFERROR(__xludf.DUMMYFUNCTION("IF(I58="""", """", RANK(I58, FILTER(I:I, I:I&lt;&gt;""""), 1))
"),8)</f>
        <v>8</v>
      </c>
    </row>
    <row r="60" spans="1:10" ht="22.5" customHeight="1">
      <c r="A60" s="8" t="s">
        <v>159</v>
      </c>
      <c r="B60" s="10" t="s">
        <v>160</v>
      </c>
      <c r="C60" s="10" t="s">
        <v>25</v>
      </c>
      <c r="D60" s="10" t="s">
        <v>29</v>
      </c>
      <c r="E60" s="11" t="s">
        <v>22</v>
      </c>
      <c r="F60" s="19">
        <v>39.6128</v>
      </c>
      <c r="G60" s="19">
        <v>-105.0782</v>
      </c>
      <c r="H60" s="32" t="s">
        <v>48</v>
      </c>
      <c r="I60" s="37">
        <v>45754</v>
      </c>
      <c r="J60" s="25">
        <f ca="1">IFERROR(__xludf.DUMMYFUNCTION("IF(I59="""", """", RANK(I59, FILTER(I:I, I:I&lt;&gt;""""), 1))
"),85)</f>
        <v>85</v>
      </c>
    </row>
    <row r="61" spans="1:10" ht="22.5" customHeight="1">
      <c r="A61" s="15" t="s">
        <v>161</v>
      </c>
      <c r="B61" s="17" t="s">
        <v>160</v>
      </c>
      <c r="C61" s="10" t="s">
        <v>25</v>
      </c>
      <c r="D61" s="17" t="s">
        <v>29</v>
      </c>
      <c r="E61" s="18" t="s">
        <v>22</v>
      </c>
      <c r="F61" s="35">
        <v>39.602927000000001</v>
      </c>
      <c r="G61" s="35">
        <v>-105.03884600000001</v>
      </c>
      <c r="H61" s="20"/>
      <c r="I61" s="27"/>
      <c r="J61" s="20" t="str">
        <f ca="1">IFERROR(__xludf.DUMMYFUNCTION("IF(I60="""", """", RANK(I60, FILTER(I:I, I:I&lt;&gt;""""), 1))
"),"")</f>
        <v/>
      </c>
    </row>
    <row r="62" spans="1:10" ht="22.5" customHeight="1">
      <c r="A62" s="8" t="s">
        <v>162</v>
      </c>
      <c r="B62" s="10" t="s">
        <v>163</v>
      </c>
      <c r="C62" s="10" t="s">
        <v>36</v>
      </c>
      <c r="D62" s="10" t="s">
        <v>13</v>
      </c>
      <c r="E62" s="11" t="s">
        <v>22</v>
      </c>
      <c r="F62" s="19">
        <v>39.717283000000002</v>
      </c>
      <c r="G62" s="19">
        <v>-104.868916</v>
      </c>
      <c r="H62" s="32" t="s">
        <v>48</v>
      </c>
      <c r="I62" s="24">
        <v>44122</v>
      </c>
      <c r="J62" s="25">
        <f ca="1">IFERROR(__xludf.DUMMYFUNCTION("IF(I61="""", """", RANK(I61, FILTER(I:I, I:I&lt;&gt;""""), 1))
"),20)</f>
        <v>20</v>
      </c>
    </row>
    <row r="63" spans="1:10" ht="22.5" customHeight="1">
      <c r="A63" s="15" t="s">
        <v>164</v>
      </c>
      <c r="B63" s="17" t="s">
        <v>163</v>
      </c>
      <c r="C63" s="17" t="s">
        <v>36</v>
      </c>
      <c r="D63" s="17" t="s">
        <v>13</v>
      </c>
      <c r="E63" s="18" t="s">
        <v>22</v>
      </c>
      <c r="F63" s="19">
        <v>39.712569999999999</v>
      </c>
      <c r="G63" s="35">
        <v>-104.867082</v>
      </c>
      <c r="H63" s="28" t="s">
        <v>48</v>
      </c>
      <c r="I63" s="29">
        <v>45809</v>
      </c>
      <c r="J63" s="30">
        <f ca="1">IFERROR(__xludf.DUMMYFUNCTION("IF(I62="""", """", RANK(I62, FILTER(I:I, I:I&lt;&gt;""""), 1))
"),97)</f>
        <v>97</v>
      </c>
    </row>
    <row r="64" spans="1:10" ht="22.5" customHeight="1">
      <c r="A64" s="8" t="s">
        <v>165</v>
      </c>
      <c r="B64" s="10" t="s">
        <v>166</v>
      </c>
      <c r="C64" s="10" t="s">
        <v>167</v>
      </c>
      <c r="D64" s="10" t="s">
        <v>13</v>
      </c>
      <c r="E64" s="11" t="s">
        <v>14</v>
      </c>
      <c r="F64" s="19">
        <v>37.364800000000002</v>
      </c>
      <c r="G64" s="19">
        <v>-108.57429999999999</v>
      </c>
      <c r="H64" s="13"/>
      <c r="I64" s="14"/>
      <c r="J64" s="13" t="str">
        <f ca="1">IFERROR(__xludf.DUMMYFUNCTION("IF(I63="""", """", RANK(I63, FILTER(I:I, I:I&lt;&gt;""""), 1))
"),"")</f>
        <v/>
      </c>
    </row>
    <row r="65" spans="1:10" ht="22.5" customHeight="1">
      <c r="A65" s="15" t="s">
        <v>168</v>
      </c>
      <c r="B65" s="17" t="s">
        <v>169</v>
      </c>
      <c r="C65" s="17" t="s">
        <v>170</v>
      </c>
      <c r="D65" s="17" t="s">
        <v>13</v>
      </c>
      <c r="E65" s="18" t="s">
        <v>30</v>
      </c>
      <c r="F65" s="19">
        <v>39.502499999999998</v>
      </c>
      <c r="G65" s="19">
        <v>-106.151</v>
      </c>
      <c r="H65" s="20"/>
      <c r="I65" s="27"/>
      <c r="J65" s="20" t="str">
        <f ca="1">IFERROR(__xludf.DUMMYFUNCTION("IF(I64="""", """", RANK(I64, FILTER(I:I, I:I&lt;&gt;""""), 1))
"),"")</f>
        <v/>
      </c>
    </row>
    <row r="66" spans="1:10" ht="22.5" customHeight="1">
      <c r="A66" s="8" t="s">
        <v>171</v>
      </c>
      <c r="B66" s="10" t="s">
        <v>172</v>
      </c>
      <c r="C66" s="10" t="s">
        <v>173</v>
      </c>
      <c r="D66" s="10" t="s">
        <v>29</v>
      </c>
      <c r="E66" s="11" t="s">
        <v>30</v>
      </c>
      <c r="F66" s="19">
        <v>39.642299999999999</v>
      </c>
      <c r="G66" s="19">
        <v>-106.5958</v>
      </c>
      <c r="H66" s="13"/>
      <c r="I66" s="14"/>
      <c r="J66" s="13" t="str">
        <f ca="1">IFERROR(__xludf.DUMMYFUNCTION("IF(I65="""", """", RANK(I65, FILTER(I:I, I:I&lt;&gt;""""), 1))
"),"")</f>
        <v/>
      </c>
    </row>
    <row r="67" spans="1:10" ht="22.5" customHeight="1">
      <c r="A67" s="15" t="s">
        <v>174</v>
      </c>
      <c r="B67" s="17" t="s">
        <v>175</v>
      </c>
      <c r="C67" s="17" t="s">
        <v>173</v>
      </c>
      <c r="D67" s="17" t="s">
        <v>29</v>
      </c>
      <c r="E67" s="18" t="s">
        <v>30</v>
      </c>
      <c r="F67" s="19">
        <v>39.633800000000001</v>
      </c>
      <c r="G67" s="19">
        <v>-106.5921</v>
      </c>
      <c r="H67" s="20"/>
      <c r="I67" s="27"/>
      <c r="J67" s="20" t="str">
        <f ca="1">IFERROR(__xludf.DUMMYFUNCTION("IF(I66="""", """", RANK(I66, FILTER(I:I, I:I&lt;&gt;""""), 1))
"),"")</f>
        <v/>
      </c>
    </row>
    <row r="68" spans="1:10" ht="22.5" customHeight="1">
      <c r="A68" s="8" t="s">
        <v>176</v>
      </c>
      <c r="B68" s="10" t="s">
        <v>177</v>
      </c>
      <c r="C68" s="10" t="s">
        <v>173</v>
      </c>
      <c r="D68" s="10" t="s">
        <v>29</v>
      </c>
      <c r="E68" s="11" t="s">
        <v>30</v>
      </c>
      <c r="F68" s="19">
        <v>39.654899999999998</v>
      </c>
      <c r="G68" s="19">
        <v>-106.6003</v>
      </c>
      <c r="H68" s="13"/>
      <c r="I68" s="33">
        <v>45456</v>
      </c>
      <c r="J68" s="34">
        <f ca="1">IFERROR(__xludf.DUMMYFUNCTION("IF(I67="""", """", RANK(I67, FILTER(I:I, I:I&lt;&gt;""""), 1))
"),68)</f>
        <v>68</v>
      </c>
    </row>
    <row r="69" spans="1:10" ht="22.5" customHeight="1">
      <c r="A69" s="15" t="s">
        <v>178</v>
      </c>
      <c r="B69" s="17" t="s">
        <v>172</v>
      </c>
      <c r="C69" s="17" t="s">
        <v>173</v>
      </c>
      <c r="D69" s="17" t="s">
        <v>29</v>
      </c>
      <c r="E69" s="18" t="s">
        <v>30</v>
      </c>
      <c r="F69" s="19">
        <v>39.642299999999999</v>
      </c>
      <c r="G69" s="19">
        <v>-106.5958</v>
      </c>
      <c r="H69" s="20"/>
      <c r="I69" s="27"/>
      <c r="J69" s="20" t="str">
        <f ca="1">IFERROR(__xludf.DUMMYFUNCTION("IF(I68="""", """", RANK(I68, FILTER(I:I, I:I&lt;&gt;""""), 1))
"),"")</f>
        <v/>
      </c>
    </row>
    <row r="70" spans="1:10" ht="22.5" customHeight="1">
      <c r="A70" s="38" t="s">
        <v>179</v>
      </c>
      <c r="B70" s="12" t="s">
        <v>180</v>
      </c>
      <c r="C70" s="10" t="s">
        <v>63</v>
      </c>
      <c r="D70" s="10" t="s">
        <v>29</v>
      </c>
      <c r="E70" s="11" t="s">
        <v>14</v>
      </c>
      <c r="F70" s="19">
        <v>38.415199999999999</v>
      </c>
      <c r="G70" s="19">
        <v>-107.8798</v>
      </c>
      <c r="H70" s="13"/>
      <c r="I70" s="14"/>
      <c r="J70" s="13" t="str">
        <f ca="1">IFERROR(__xludf.DUMMYFUNCTION("IF(I69="""", """", RANK(I69, FILTER(I:I, I:I&lt;&gt;""""), 1))
"),"")</f>
        <v/>
      </c>
    </row>
    <row r="71" spans="1:10" ht="22.5" customHeight="1">
      <c r="A71" s="8" t="s">
        <v>181</v>
      </c>
      <c r="B71" s="10" t="s">
        <v>182</v>
      </c>
      <c r="C71" s="17" t="s">
        <v>183</v>
      </c>
      <c r="D71" s="17" t="s">
        <v>13</v>
      </c>
      <c r="E71" s="18" t="s">
        <v>18</v>
      </c>
      <c r="F71" s="19">
        <v>38.128700000000002</v>
      </c>
      <c r="G71" s="19">
        <v>-104.0224</v>
      </c>
      <c r="H71" s="20"/>
      <c r="I71" s="27"/>
      <c r="J71" s="20" t="str">
        <f ca="1">IFERROR(__xludf.DUMMYFUNCTION("IF(I70="""", """", RANK(I70, FILTER(I:I, I:I&lt;&gt;""""), 1))
"),"")</f>
        <v/>
      </c>
    </row>
    <row r="72" spans="1:10" ht="22.5" customHeight="1">
      <c r="A72" s="15" t="s">
        <v>184</v>
      </c>
      <c r="B72" s="17" t="s">
        <v>185</v>
      </c>
      <c r="C72" s="10" t="s">
        <v>186</v>
      </c>
      <c r="D72" s="10" t="s">
        <v>82</v>
      </c>
      <c r="E72" s="11" t="s">
        <v>18</v>
      </c>
      <c r="F72" s="19">
        <v>39.097799999999999</v>
      </c>
      <c r="G72" s="19">
        <v>-104.8596</v>
      </c>
      <c r="H72" s="13"/>
      <c r="I72" s="24">
        <v>44694</v>
      </c>
      <c r="J72" s="25">
        <f ca="1">IFERROR(__xludf.DUMMYFUNCTION("IF(I71="""", """", RANK(I71, FILTER(I:I, I:I&lt;&gt;""""), 1))
"),35)</f>
        <v>35</v>
      </c>
    </row>
    <row r="73" spans="1:10" ht="22.5" customHeight="1">
      <c r="A73" s="8" t="s">
        <v>187</v>
      </c>
      <c r="B73" s="10" t="s">
        <v>188</v>
      </c>
      <c r="C73" s="17" t="s">
        <v>88</v>
      </c>
      <c r="D73" s="17" t="s">
        <v>29</v>
      </c>
      <c r="E73" s="18" t="s">
        <v>18</v>
      </c>
      <c r="F73" s="19">
        <v>38.791200000000003</v>
      </c>
      <c r="G73" s="19">
        <v>-104.8456</v>
      </c>
      <c r="H73" s="28" t="s">
        <v>48</v>
      </c>
      <c r="I73" s="21">
        <v>44315</v>
      </c>
      <c r="J73" s="22">
        <f ca="1">IFERROR(__xludf.DUMMYFUNCTION("IF(I72="""", """", RANK(I72, FILTER(I:I, I:I&lt;&gt;""""), 1))
"),24)</f>
        <v>24</v>
      </c>
    </row>
    <row r="74" spans="1:10" ht="22.5" customHeight="1">
      <c r="A74" s="15" t="s">
        <v>189</v>
      </c>
      <c r="B74" s="17" t="s">
        <v>190</v>
      </c>
      <c r="C74" s="10" t="s">
        <v>173</v>
      </c>
      <c r="D74" s="10" t="s">
        <v>29</v>
      </c>
      <c r="E74" s="11" t="s">
        <v>30</v>
      </c>
      <c r="F74" s="19">
        <v>39.6447</v>
      </c>
      <c r="G74" s="19">
        <v>-106.6041</v>
      </c>
      <c r="H74" s="13"/>
      <c r="I74" s="14"/>
      <c r="J74" s="13" t="str">
        <f ca="1">IFERROR(__xludf.DUMMYFUNCTION("IF(I73="""", """", RANK(I73, FILTER(I:I, I:I&lt;&gt;""""), 1))
"),"")</f>
        <v/>
      </c>
    </row>
    <row r="75" spans="1:10" ht="22.5" customHeight="1">
      <c r="A75" s="8" t="s">
        <v>191</v>
      </c>
      <c r="B75" s="10" t="s">
        <v>192</v>
      </c>
      <c r="C75" s="17" t="s">
        <v>193</v>
      </c>
      <c r="D75" s="17" t="s">
        <v>13</v>
      </c>
      <c r="E75" s="18" t="s">
        <v>40</v>
      </c>
      <c r="F75" s="19">
        <v>40.082900000000002</v>
      </c>
      <c r="G75" s="19">
        <v>-104.81359999999999</v>
      </c>
      <c r="H75" s="20"/>
      <c r="I75" s="21">
        <v>44427</v>
      </c>
      <c r="J75" s="22">
        <f ca="1">IFERROR(__xludf.DUMMYFUNCTION("IF(I74="""", """", RANK(I74, FILTER(I:I, I:I&lt;&gt;""""), 1))
"),30)</f>
        <v>30</v>
      </c>
    </row>
    <row r="76" spans="1:10" ht="22.5" customHeight="1">
      <c r="A76" s="15" t="s">
        <v>194</v>
      </c>
      <c r="B76" s="17" t="s">
        <v>195</v>
      </c>
      <c r="C76" s="10" t="s">
        <v>196</v>
      </c>
      <c r="D76" s="10" t="s">
        <v>82</v>
      </c>
      <c r="E76" s="11" t="s">
        <v>30</v>
      </c>
      <c r="F76" s="19">
        <v>38.902200000000001</v>
      </c>
      <c r="G76" s="19">
        <v>-106.9415</v>
      </c>
      <c r="H76" s="13"/>
      <c r="I76" s="14"/>
      <c r="J76" s="13" t="str">
        <f ca="1">IFERROR(__xludf.DUMMYFUNCTION("IF(I75="""", """", RANK(I75, FILTER(I:I, I:I&lt;&gt;""""), 1))
"),"")</f>
        <v/>
      </c>
    </row>
    <row r="77" spans="1:10" ht="22.5" customHeight="1">
      <c r="A77" s="8" t="s">
        <v>197</v>
      </c>
      <c r="B77" s="10" t="s">
        <v>198</v>
      </c>
      <c r="C77" s="17" t="s">
        <v>199</v>
      </c>
      <c r="D77" s="17" t="s">
        <v>82</v>
      </c>
      <c r="E77" s="18" t="s">
        <v>14</v>
      </c>
      <c r="F77" s="19">
        <v>37.344700000000003</v>
      </c>
      <c r="G77" s="19">
        <v>-107.8464</v>
      </c>
      <c r="H77" s="20"/>
      <c r="I77" s="27"/>
      <c r="J77" s="20" t="str">
        <f ca="1">IFERROR(__xludf.DUMMYFUNCTION("IF(I76="""", """", RANK(I76, FILTER(I:I, I:I&lt;&gt;""""), 1))
"),"")</f>
        <v/>
      </c>
    </row>
    <row r="78" spans="1:10" ht="22.5" customHeight="1">
      <c r="A78" s="15" t="s">
        <v>200</v>
      </c>
      <c r="B78" s="17" t="s">
        <v>201</v>
      </c>
      <c r="C78" s="10" t="s">
        <v>47</v>
      </c>
      <c r="D78" s="10" t="s">
        <v>29</v>
      </c>
      <c r="E78" s="11" t="s">
        <v>22</v>
      </c>
      <c r="F78" s="19">
        <v>39.718699999999998</v>
      </c>
      <c r="G78" s="19">
        <v>-104.96559999999999</v>
      </c>
      <c r="H78" s="32" t="s">
        <v>48</v>
      </c>
      <c r="I78" s="33">
        <v>45961</v>
      </c>
      <c r="J78" s="34">
        <f ca="1">IFERROR(__xludf.DUMMYFUNCTION("IF(I77="""", """", RANK(I77, FILTER(I:I, I:I&lt;&gt;""""), 1))
"),121)</f>
        <v>121</v>
      </c>
    </row>
    <row r="79" spans="1:10" ht="22.5" customHeight="1">
      <c r="A79" s="8" t="s">
        <v>202</v>
      </c>
      <c r="B79" s="10" t="s">
        <v>203</v>
      </c>
      <c r="C79" s="17" t="s">
        <v>204</v>
      </c>
      <c r="D79" s="17" t="s">
        <v>13</v>
      </c>
      <c r="E79" s="18" t="s">
        <v>18</v>
      </c>
      <c r="F79" s="19">
        <v>38.346499999999999</v>
      </c>
      <c r="G79" s="19">
        <v>-104.7242</v>
      </c>
      <c r="H79" s="20"/>
      <c r="I79" s="21">
        <v>44212</v>
      </c>
      <c r="J79" s="22">
        <f ca="1">IFERROR(__xludf.DUMMYFUNCTION("IF(I78="""", """", RANK(I78, FILTER(I:I, I:I&lt;&gt;""""), 1))
"),22)</f>
        <v>22</v>
      </c>
    </row>
    <row r="80" spans="1:10" ht="22.5" customHeight="1">
      <c r="A80" s="15" t="s">
        <v>205</v>
      </c>
      <c r="B80" s="17" t="s">
        <v>206</v>
      </c>
      <c r="C80" s="10" t="s">
        <v>207</v>
      </c>
      <c r="D80" s="10" t="s">
        <v>13</v>
      </c>
      <c r="E80" s="11" t="s">
        <v>14</v>
      </c>
      <c r="F80" s="19">
        <v>38.761400000000002</v>
      </c>
      <c r="G80" s="19">
        <v>-108.0805</v>
      </c>
      <c r="H80" s="13"/>
      <c r="I80" s="14"/>
      <c r="J80" s="13" t="str">
        <f ca="1">IFERROR(__xludf.DUMMYFUNCTION("IF(I79="""", """", RANK(I79, FILTER(I:I, I:I&lt;&gt;""""), 1))
"),"")</f>
        <v/>
      </c>
    </row>
    <row r="81" spans="1:10" ht="22.5" customHeight="1">
      <c r="A81" s="8" t="s">
        <v>208</v>
      </c>
      <c r="B81" s="10" t="s">
        <v>209</v>
      </c>
      <c r="C81" s="17" t="s">
        <v>210</v>
      </c>
      <c r="D81" s="17" t="s">
        <v>82</v>
      </c>
      <c r="E81" s="18" t="s">
        <v>14</v>
      </c>
      <c r="F81" s="19">
        <v>38.140799999999999</v>
      </c>
      <c r="G81" s="19">
        <v>-107.7654</v>
      </c>
      <c r="H81" s="20"/>
      <c r="I81" s="27"/>
      <c r="J81" s="20" t="str">
        <f ca="1">IFERROR(__xludf.DUMMYFUNCTION("IF(I80="""", """", RANK(I80, FILTER(I:I, I:I&lt;&gt;""""), 1))
"),"")</f>
        <v/>
      </c>
    </row>
    <row r="82" spans="1:10" ht="22.5" customHeight="1">
      <c r="A82" s="15" t="s">
        <v>211</v>
      </c>
      <c r="B82" s="17" t="s">
        <v>212</v>
      </c>
      <c r="C82" s="10" t="s">
        <v>213</v>
      </c>
      <c r="D82" s="10" t="s">
        <v>82</v>
      </c>
      <c r="E82" s="11" t="s">
        <v>30</v>
      </c>
      <c r="F82" s="19">
        <v>38.553899999999999</v>
      </c>
      <c r="G82" s="19">
        <v>-106.9383</v>
      </c>
      <c r="H82" s="13"/>
      <c r="I82" s="14"/>
      <c r="J82" s="13" t="str">
        <f ca="1">IFERROR(__xludf.DUMMYFUNCTION("IF(I81="""", """", RANK(I81, FILTER(I:I, I:I&lt;&gt;""""), 1))
"),"")</f>
        <v/>
      </c>
    </row>
    <row r="83" spans="1:10" ht="22.5" customHeight="1">
      <c r="A83" s="8" t="s">
        <v>214</v>
      </c>
      <c r="B83" s="10" t="s">
        <v>215</v>
      </c>
      <c r="C83" s="17" t="s">
        <v>216</v>
      </c>
      <c r="D83" s="17" t="s">
        <v>13</v>
      </c>
      <c r="E83" s="18" t="s">
        <v>18</v>
      </c>
      <c r="F83" s="19">
        <v>38.483699999999999</v>
      </c>
      <c r="G83" s="19">
        <v>-102.7796</v>
      </c>
      <c r="H83" s="20"/>
      <c r="I83" s="27"/>
      <c r="J83" s="20" t="str">
        <f ca="1">IFERROR(__xludf.DUMMYFUNCTION("IF(I82="""", """", RANK(I82, FILTER(I:I, I:I&lt;&gt;""""), 1))
"),"")</f>
        <v/>
      </c>
    </row>
    <row r="84" spans="1:10" ht="22.5" customHeight="1">
      <c r="A84" s="15" t="s">
        <v>217</v>
      </c>
      <c r="B84" s="17" t="s">
        <v>218</v>
      </c>
      <c r="C84" s="10" t="s">
        <v>219</v>
      </c>
      <c r="D84" s="10" t="s">
        <v>13</v>
      </c>
      <c r="E84" s="11" t="s">
        <v>30</v>
      </c>
      <c r="F84" s="19">
        <v>39.627600000000001</v>
      </c>
      <c r="G84" s="19">
        <v>-106.8235</v>
      </c>
      <c r="H84" s="13"/>
      <c r="I84" s="24">
        <v>45497</v>
      </c>
      <c r="J84" s="25">
        <f ca="1">IFERROR(__xludf.DUMMYFUNCTION("IF(I83="""", """", RANK(I83, FILTER(I:I, I:I&lt;&gt;""""), 1))
"),71)</f>
        <v>71</v>
      </c>
    </row>
    <row r="85" spans="1:10" ht="22.5" customHeight="1">
      <c r="A85" s="8" t="s">
        <v>220</v>
      </c>
      <c r="B85" s="10" t="s">
        <v>221</v>
      </c>
      <c r="C85" s="17" t="s">
        <v>222</v>
      </c>
      <c r="D85" s="17" t="s">
        <v>29</v>
      </c>
      <c r="E85" s="18" t="s">
        <v>30</v>
      </c>
      <c r="F85" s="19">
        <v>39.702100000000002</v>
      </c>
      <c r="G85" s="19">
        <v>-106.6808</v>
      </c>
      <c r="H85" s="20"/>
      <c r="I85" s="27"/>
      <c r="J85" s="20" t="str">
        <f ca="1">IFERROR(__xludf.DUMMYFUNCTION("IF(I84="""", """", RANK(I84, FILTER(I:I, I:I&lt;&gt;""""), 1))
"),"")</f>
        <v/>
      </c>
    </row>
    <row r="86" spans="1:10" ht="22.5" customHeight="1">
      <c r="A86" s="15" t="s">
        <v>223</v>
      </c>
      <c r="B86" s="17" t="s">
        <v>224</v>
      </c>
      <c r="C86" s="10" t="s">
        <v>85</v>
      </c>
      <c r="D86" s="10" t="s">
        <v>13</v>
      </c>
      <c r="E86" s="11" t="s">
        <v>22</v>
      </c>
      <c r="F86" s="19">
        <v>39.933500000000002</v>
      </c>
      <c r="G86" s="19">
        <v>-105.0681</v>
      </c>
      <c r="H86" s="13"/>
      <c r="I86" s="14"/>
      <c r="J86" s="13" t="str">
        <f ca="1">IFERROR(__xludf.DUMMYFUNCTION("IF(I85="""", """", RANK(I85, FILTER(I:I, I:I&lt;&gt;""""), 1))
"),"")</f>
        <v/>
      </c>
    </row>
    <row r="87" spans="1:10" ht="22.5" customHeight="1">
      <c r="A87" s="8" t="s">
        <v>225</v>
      </c>
      <c r="B87" s="10" t="s">
        <v>226</v>
      </c>
      <c r="C87" s="17" t="s">
        <v>54</v>
      </c>
      <c r="D87" s="17" t="s">
        <v>13</v>
      </c>
      <c r="E87" s="18" t="s">
        <v>30</v>
      </c>
      <c r="F87" s="19">
        <v>39.639600000000002</v>
      </c>
      <c r="G87" s="19">
        <v>-106.39400000000001</v>
      </c>
      <c r="H87" s="20"/>
      <c r="I87" s="27"/>
      <c r="J87" s="20" t="str">
        <f ca="1">IFERROR(__xludf.DUMMYFUNCTION("IF(I86="""", """", RANK(I86, FILTER(I:I, I:I&lt;&gt;""""), 1))
"),"")</f>
        <v/>
      </c>
    </row>
    <row r="88" spans="1:10" ht="22.5" customHeight="1">
      <c r="A88" s="15" t="s">
        <v>227</v>
      </c>
      <c r="B88" s="17" t="s">
        <v>228</v>
      </c>
      <c r="C88" s="10" t="s">
        <v>229</v>
      </c>
      <c r="D88" s="10" t="s">
        <v>29</v>
      </c>
      <c r="E88" s="11" t="s">
        <v>40</v>
      </c>
      <c r="F88" s="19">
        <v>40.5242</v>
      </c>
      <c r="G88" s="19">
        <v>-104.6918</v>
      </c>
      <c r="H88" s="32" t="s">
        <v>48</v>
      </c>
      <c r="I88" s="33">
        <v>45884</v>
      </c>
      <c r="J88" s="34">
        <v>111</v>
      </c>
    </row>
    <row r="89" spans="1:10" ht="22.5" customHeight="1">
      <c r="A89" s="8" t="s">
        <v>230</v>
      </c>
      <c r="B89" s="10" t="s">
        <v>231</v>
      </c>
      <c r="C89" s="17" t="s">
        <v>88</v>
      </c>
      <c r="D89" s="17" t="s">
        <v>13</v>
      </c>
      <c r="E89" s="18" t="s">
        <v>18</v>
      </c>
      <c r="F89" s="39">
        <v>39.004786000000003</v>
      </c>
      <c r="G89" s="35">
        <v>-104.858295</v>
      </c>
      <c r="H89" s="20"/>
      <c r="I89" s="21">
        <v>44653</v>
      </c>
      <c r="J89" s="22">
        <f ca="1">IFERROR(__xludf.DUMMYFUNCTION("IF(I88="""", """", RANK(I88, FILTER(I:I, I:I&lt;&gt;""""), 1))
"),32)</f>
        <v>32</v>
      </c>
    </row>
    <row r="90" spans="1:10" ht="22.5" customHeight="1">
      <c r="A90" s="15" t="s">
        <v>232</v>
      </c>
      <c r="B90" s="17" t="s">
        <v>231</v>
      </c>
      <c r="C90" s="10" t="s">
        <v>88</v>
      </c>
      <c r="D90" s="10" t="s">
        <v>13</v>
      </c>
      <c r="E90" s="11" t="s">
        <v>18</v>
      </c>
      <c r="F90" s="12">
        <v>39.006380999999998</v>
      </c>
      <c r="G90" s="12">
        <v>-104.8609</v>
      </c>
      <c r="H90" s="32" t="s">
        <v>48</v>
      </c>
      <c r="I90" s="24">
        <v>43731</v>
      </c>
      <c r="J90" s="25">
        <f ca="1">IFERROR(__xludf.DUMMYFUNCTION("IF(I89="""", """", RANK(I89, FILTER(I:I, I:I&lt;&gt;""""), 1))
"),16)</f>
        <v>16</v>
      </c>
    </row>
    <row r="91" spans="1:10" ht="22.5" customHeight="1">
      <c r="A91" s="8" t="s">
        <v>233</v>
      </c>
      <c r="B91" s="10" t="s">
        <v>234</v>
      </c>
      <c r="C91" s="17" t="s">
        <v>235</v>
      </c>
      <c r="D91" s="17" t="s">
        <v>13</v>
      </c>
      <c r="E91" s="18" t="s">
        <v>18</v>
      </c>
      <c r="F91" s="19">
        <v>38.236600000000003</v>
      </c>
      <c r="G91" s="19">
        <v>-104.65940000000001</v>
      </c>
      <c r="H91" s="20"/>
      <c r="I91" s="27"/>
      <c r="J91" s="20" t="str">
        <f ca="1">IFERROR(__xludf.DUMMYFUNCTION("IF(I90="""", """", RANK(I90, FILTER(I:I, I:I&lt;&gt;""""), 1))
"),"")</f>
        <v/>
      </c>
    </row>
    <row r="92" spans="1:10" ht="22.5" customHeight="1">
      <c r="A92" s="15" t="s">
        <v>236</v>
      </c>
      <c r="B92" s="17" t="s">
        <v>237</v>
      </c>
      <c r="C92" s="10" t="s">
        <v>47</v>
      </c>
      <c r="D92" s="10" t="s">
        <v>13</v>
      </c>
      <c r="E92" s="11" t="s">
        <v>22</v>
      </c>
      <c r="F92" s="19">
        <v>39.705399999999997</v>
      </c>
      <c r="G92" s="19">
        <v>-104.87909999999999</v>
      </c>
      <c r="H92" s="13"/>
      <c r="I92" s="14"/>
      <c r="J92" s="13" t="str">
        <f ca="1">IFERROR(__xludf.DUMMYFUNCTION("IF(I91="""", """", RANK(I91, FILTER(I:I, I:I&lt;&gt;""""), 1))
"),"")</f>
        <v/>
      </c>
    </row>
    <row r="93" spans="1:10" ht="22.5" customHeight="1">
      <c r="A93" s="8" t="s">
        <v>238</v>
      </c>
      <c r="B93" s="10" t="s">
        <v>239</v>
      </c>
      <c r="C93" s="17" t="s">
        <v>240</v>
      </c>
      <c r="D93" s="17" t="s">
        <v>13</v>
      </c>
      <c r="E93" s="18" t="s">
        <v>40</v>
      </c>
      <c r="F93" s="19">
        <v>40.396900000000002</v>
      </c>
      <c r="G93" s="19">
        <v>-105.5057</v>
      </c>
      <c r="H93" s="20"/>
      <c r="I93" s="27"/>
      <c r="J93" s="20" t="str">
        <f ca="1">IFERROR(__xludf.DUMMYFUNCTION("IF(I92="""", """", RANK(I92, FILTER(I:I, I:I&lt;&gt;""""), 1))
"),"")</f>
        <v/>
      </c>
    </row>
    <row r="94" spans="1:10" ht="22.5" customHeight="1">
      <c r="A94" s="8" t="s">
        <v>241</v>
      </c>
      <c r="B94" s="10" t="s">
        <v>242</v>
      </c>
      <c r="C94" s="17" t="s">
        <v>243</v>
      </c>
      <c r="D94" s="17" t="s">
        <v>13</v>
      </c>
      <c r="E94" s="18" t="s">
        <v>22</v>
      </c>
      <c r="F94" s="19">
        <v>39.624400000000001</v>
      </c>
      <c r="G94" s="19">
        <v>-105.32980000000001</v>
      </c>
      <c r="H94" s="13"/>
      <c r="I94" s="14"/>
      <c r="J94" s="13" t="str">
        <f ca="1">IFERROR(__xludf.DUMMYFUNCTION("IF(I93="""", """", RANK(I93, FILTER(I:I, I:I&lt;&gt;""""), 1))
"),"")</f>
        <v/>
      </c>
    </row>
    <row r="95" spans="1:10" ht="22.5" customHeight="1">
      <c r="A95" s="15" t="s">
        <v>244</v>
      </c>
      <c r="B95" s="17" t="s">
        <v>245</v>
      </c>
      <c r="C95" s="10" t="s">
        <v>246</v>
      </c>
      <c r="D95" s="10" t="s">
        <v>13</v>
      </c>
      <c r="E95" s="11" t="s">
        <v>40</v>
      </c>
      <c r="F95" s="19">
        <v>40.688499999999998</v>
      </c>
      <c r="G95" s="19">
        <v>-102.8043</v>
      </c>
      <c r="H95" s="76" t="s">
        <v>710</v>
      </c>
      <c r="I95" s="27">
        <v>46143</v>
      </c>
      <c r="J95" s="20">
        <v>127</v>
      </c>
    </row>
    <row r="96" spans="1:10" ht="22.5" customHeight="1">
      <c r="A96" s="8" t="s">
        <v>247</v>
      </c>
      <c r="B96" s="10" t="s">
        <v>248</v>
      </c>
      <c r="C96" s="17" t="s">
        <v>73</v>
      </c>
      <c r="D96" s="17" t="s">
        <v>13</v>
      </c>
      <c r="E96" s="18" t="s">
        <v>22</v>
      </c>
      <c r="F96" s="19">
        <v>40.014600000000002</v>
      </c>
      <c r="G96" s="19">
        <v>-105.22150000000001</v>
      </c>
      <c r="H96" s="13"/>
      <c r="I96" s="14"/>
      <c r="J96" s="13" t="str">
        <f ca="1">IFERROR(__xludf.DUMMYFUNCTION("IF(I95="""", """", RANK(I95, FILTER(I:I, I:I&lt;&gt;""""), 1))
"),"")</f>
        <v/>
      </c>
    </row>
    <row r="97" spans="1:10" ht="22.5" customHeight="1">
      <c r="A97" s="15" t="s">
        <v>249</v>
      </c>
      <c r="B97" s="17" t="s">
        <v>250</v>
      </c>
      <c r="C97" s="10" t="s">
        <v>88</v>
      </c>
      <c r="D97" s="10" t="s">
        <v>29</v>
      </c>
      <c r="E97" s="11" t="s">
        <v>18</v>
      </c>
      <c r="F97" s="19">
        <v>39.002200000000002</v>
      </c>
      <c r="G97" s="19">
        <v>-104.8605</v>
      </c>
      <c r="H97" s="20"/>
      <c r="I97" s="27"/>
      <c r="J97" s="20" t="str">
        <f ca="1">IFERROR(__xludf.DUMMYFUNCTION("IF(I96="""", """", RANK(I96, FILTER(I:I, I:I&lt;&gt;""""), 1))
"),"")</f>
        <v/>
      </c>
    </row>
    <row r="98" spans="1:10" ht="22.5" customHeight="1">
      <c r="A98" s="8" t="s">
        <v>251</v>
      </c>
      <c r="B98" s="10" t="s">
        <v>252</v>
      </c>
      <c r="C98" s="17" t="s">
        <v>88</v>
      </c>
      <c r="D98" s="17" t="s">
        <v>29</v>
      </c>
      <c r="E98" s="18" t="s">
        <v>18</v>
      </c>
      <c r="F98" s="19">
        <v>39.055300000000003</v>
      </c>
      <c r="G98" s="19">
        <v>-104.7497</v>
      </c>
      <c r="H98" s="32" t="s">
        <v>48</v>
      </c>
      <c r="I98" s="24">
        <v>45411</v>
      </c>
      <c r="J98" s="25">
        <f ca="1">IFERROR(__xludf.DUMMYFUNCTION("IF(I97="""", """", RANK(I97, FILTER(I:I, I:I&lt;&gt;""""), 1))
"),65)</f>
        <v>65</v>
      </c>
    </row>
    <row r="99" spans="1:10" ht="22.5" customHeight="1">
      <c r="A99" s="15" t="s">
        <v>253</v>
      </c>
      <c r="B99" s="17" t="s">
        <v>254</v>
      </c>
      <c r="C99" s="10" t="s">
        <v>47</v>
      </c>
      <c r="D99" s="10" t="s">
        <v>13</v>
      </c>
      <c r="E99" s="11" t="s">
        <v>22</v>
      </c>
      <c r="F99" s="12">
        <v>39.644812999999999</v>
      </c>
      <c r="G99" s="12">
        <v>-105.09211500000001</v>
      </c>
      <c r="H99" s="20"/>
      <c r="I99" s="27"/>
      <c r="J99" s="20" t="str">
        <f ca="1">IFERROR(__xludf.DUMMYFUNCTION("IF(I98="""", """", RANK(I98, FILTER(I:I, I:I&lt;&gt;""""), 1))
"),"")</f>
        <v/>
      </c>
    </row>
    <row r="100" spans="1:10" ht="22.5" customHeight="1">
      <c r="A100" s="8" t="s">
        <v>255</v>
      </c>
      <c r="B100" s="10" t="s">
        <v>254</v>
      </c>
      <c r="C100" s="17" t="s">
        <v>47</v>
      </c>
      <c r="D100" s="17" t="s">
        <v>13</v>
      </c>
      <c r="E100" s="18" t="s">
        <v>22</v>
      </c>
      <c r="F100" s="35">
        <v>39.644328999999999</v>
      </c>
      <c r="G100" s="35">
        <v>-105.091976</v>
      </c>
      <c r="H100" s="32" t="s">
        <v>48</v>
      </c>
      <c r="I100" s="33">
        <v>45835</v>
      </c>
      <c r="J100" s="34">
        <f ca="1">IFERROR(__xludf.DUMMYFUNCTION("IF(I99="""", """", RANK(I99, FILTER(I:I, I:I&lt;&gt;""""), 1))
"),103)</f>
        <v>103</v>
      </c>
    </row>
    <row r="101" spans="1:10" ht="22.5" customHeight="1">
      <c r="A101" s="15" t="s">
        <v>256</v>
      </c>
      <c r="B101" s="17" t="s">
        <v>254</v>
      </c>
      <c r="C101" s="10" t="s">
        <v>47</v>
      </c>
      <c r="D101" s="10" t="s">
        <v>13</v>
      </c>
      <c r="E101" s="11" t="s">
        <v>22</v>
      </c>
      <c r="F101" s="12">
        <v>39.648057000000001</v>
      </c>
      <c r="G101" s="12">
        <v>-105.092905</v>
      </c>
      <c r="H101" s="20"/>
      <c r="I101" s="27"/>
      <c r="J101" s="20" t="str">
        <f ca="1">IFERROR(__xludf.DUMMYFUNCTION("IF(I100="""", """", RANK(I100, FILTER(I:I, I:I&lt;&gt;""""), 1))
"),"")</f>
        <v/>
      </c>
    </row>
    <row r="102" spans="1:10" ht="22.5" customHeight="1">
      <c r="A102" s="8" t="s">
        <v>257</v>
      </c>
      <c r="B102" s="10" t="s">
        <v>258</v>
      </c>
      <c r="C102" s="17" t="s">
        <v>135</v>
      </c>
      <c r="D102" s="17" t="s">
        <v>29</v>
      </c>
      <c r="E102" s="18" t="s">
        <v>40</v>
      </c>
      <c r="F102" s="19">
        <v>40.612699999999997</v>
      </c>
      <c r="G102" s="19">
        <v>-105.0416</v>
      </c>
      <c r="H102" s="32" t="s">
        <v>48</v>
      </c>
      <c r="I102" s="33">
        <v>45811</v>
      </c>
      <c r="J102" s="34">
        <f ca="1">IFERROR(__xludf.DUMMYFUNCTION("IF(I101="""", """", RANK(I101, FILTER(I:I, I:I&lt;&gt;""""), 1))
"),98)</f>
        <v>98</v>
      </c>
    </row>
    <row r="103" spans="1:10" ht="22.5" customHeight="1">
      <c r="A103" s="15" t="s">
        <v>259</v>
      </c>
      <c r="B103" s="17" t="s">
        <v>260</v>
      </c>
      <c r="C103" s="10" t="s">
        <v>21</v>
      </c>
      <c r="D103" s="10" t="s">
        <v>13</v>
      </c>
      <c r="E103" s="11" t="s">
        <v>22</v>
      </c>
      <c r="F103" s="19">
        <v>39.755600000000001</v>
      </c>
      <c r="G103" s="19">
        <v>-105.2221</v>
      </c>
      <c r="H103" s="76" t="s">
        <v>707</v>
      </c>
      <c r="I103" s="21">
        <v>44689</v>
      </c>
      <c r="J103" s="22">
        <f ca="1">IFERROR(__xludf.DUMMYFUNCTION("IF(I102="""", """", RANK(I102, FILTER(I:I, I:I&lt;&gt;""""), 1))
"),34)</f>
        <v>34</v>
      </c>
    </row>
    <row r="104" spans="1:10" ht="22.5" customHeight="1">
      <c r="A104" s="8" t="s">
        <v>261</v>
      </c>
      <c r="B104" s="10" t="s">
        <v>262</v>
      </c>
      <c r="C104" s="17" t="s">
        <v>263</v>
      </c>
      <c r="D104" s="17" t="s">
        <v>13</v>
      </c>
      <c r="E104" s="18" t="s">
        <v>30</v>
      </c>
      <c r="F104" s="19">
        <v>38.463496999999997</v>
      </c>
      <c r="G104" s="19">
        <v>-105.166102</v>
      </c>
      <c r="H104" s="75" t="s">
        <v>692</v>
      </c>
      <c r="I104" s="24">
        <v>43823</v>
      </c>
      <c r="J104" s="25">
        <f ca="1">IFERROR(__xludf.DUMMYFUNCTION("IF(I103="""", """", RANK(I103, FILTER(I:I, I:I&lt;&gt;""""), 1))
"),18)</f>
        <v>18</v>
      </c>
    </row>
    <row r="105" spans="1:10" ht="22.5" customHeight="1">
      <c r="A105" s="15" t="s">
        <v>264</v>
      </c>
      <c r="B105" s="17" t="s">
        <v>265</v>
      </c>
      <c r="C105" s="10" t="s">
        <v>266</v>
      </c>
      <c r="D105" s="10" t="s">
        <v>29</v>
      </c>
      <c r="E105" s="11" t="s">
        <v>22</v>
      </c>
      <c r="F105" s="19">
        <v>40.813400000000001</v>
      </c>
      <c r="G105" s="19">
        <v>-105.5728</v>
      </c>
      <c r="H105" s="20"/>
      <c r="I105" s="27"/>
      <c r="J105" s="20" t="str">
        <f ca="1">IFERROR(__xludf.DUMMYFUNCTION("IF(I104="""", """", RANK(I104, FILTER(I:I, I:I&lt;&gt;""""), 1))
"),"")</f>
        <v/>
      </c>
    </row>
    <row r="106" spans="1:10" ht="22.5" customHeight="1">
      <c r="A106" s="15" t="s">
        <v>267</v>
      </c>
      <c r="B106" s="17" t="s">
        <v>268</v>
      </c>
      <c r="C106" s="10" t="s">
        <v>269</v>
      </c>
      <c r="D106" s="10" t="s">
        <v>29</v>
      </c>
      <c r="E106" s="11" t="s">
        <v>40</v>
      </c>
      <c r="F106" s="19">
        <v>40.188899999999997</v>
      </c>
      <c r="G106" s="19">
        <v>-105.0996</v>
      </c>
      <c r="H106" s="13"/>
      <c r="I106" s="14"/>
      <c r="J106" s="13" t="str">
        <f ca="1">IFERROR(__xludf.DUMMYFUNCTION("IF(I105="""", """", RANK(I105, FILTER(I:I, I:I&lt;&gt;""""), 1))
"),"")</f>
        <v/>
      </c>
    </row>
    <row r="107" spans="1:10" ht="22.5" customHeight="1">
      <c r="A107" s="8" t="s">
        <v>270</v>
      </c>
      <c r="B107" s="10" t="s">
        <v>271</v>
      </c>
      <c r="C107" s="40" t="s">
        <v>272</v>
      </c>
      <c r="D107" s="40" t="s">
        <v>13</v>
      </c>
      <c r="E107" s="41" t="s">
        <v>22</v>
      </c>
      <c r="F107" s="19">
        <v>39.653199999999998</v>
      </c>
      <c r="G107" s="19">
        <v>-105.15089999999999</v>
      </c>
      <c r="H107" s="20"/>
      <c r="I107" s="21">
        <v>45740</v>
      </c>
      <c r="J107" s="22">
        <f ca="1">IFERROR(__xludf.DUMMYFUNCTION("IF(I106="""", """", RANK(I106, FILTER(I:I, I:I&lt;&gt;""""), 1))
"),82)</f>
        <v>82</v>
      </c>
    </row>
    <row r="108" spans="1:10" ht="22.5" customHeight="1">
      <c r="A108" s="15" t="s">
        <v>273</v>
      </c>
      <c r="B108" s="17" t="s">
        <v>271</v>
      </c>
      <c r="C108" s="10" t="s">
        <v>272</v>
      </c>
      <c r="D108" s="10" t="s">
        <v>13</v>
      </c>
      <c r="E108" s="11" t="s">
        <v>22</v>
      </c>
      <c r="F108" s="19">
        <v>39.653199999999998</v>
      </c>
      <c r="G108" s="19">
        <v>-105.15089999999999</v>
      </c>
      <c r="H108" s="13"/>
      <c r="I108" s="24">
        <v>45740</v>
      </c>
      <c r="J108" s="25">
        <v>83</v>
      </c>
    </row>
    <row r="109" spans="1:10" ht="22.5" customHeight="1">
      <c r="A109" s="8" t="s">
        <v>274</v>
      </c>
      <c r="B109" s="10" t="s">
        <v>271</v>
      </c>
      <c r="C109" s="17" t="s">
        <v>272</v>
      </c>
      <c r="D109" s="17" t="s">
        <v>13</v>
      </c>
      <c r="E109" s="18" t="s">
        <v>22</v>
      </c>
      <c r="F109" s="19">
        <v>39.653199999999998</v>
      </c>
      <c r="G109" s="19">
        <v>-105.15089999999999</v>
      </c>
      <c r="H109" s="20"/>
      <c r="I109" s="27"/>
      <c r="J109" s="20" t="str">
        <f ca="1">IFERROR(__xludf.DUMMYFUNCTION("IF(I108="""", """", RANK(I108, FILTER(I:I, I:I&lt;&gt;""""), 1))
"),"")</f>
        <v/>
      </c>
    </row>
    <row r="110" spans="1:10" ht="22.5" customHeight="1">
      <c r="A110" s="15" t="s">
        <v>275</v>
      </c>
      <c r="B110" s="17" t="s">
        <v>276</v>
      </c>
      <c r="C110" s="10" t="s">
        <v>219</v>
      </c>
      <c r="D110" s="10" t="s">
        <v>29</v>
      </c>
      <c r="E110" s="11" t="s">
        <v>30</v>
      </c>
      <c r="F110" s="19">
        <v>39.6158</v>
      </c>
      <c r="G110" s="19">
        <v>-106.7724</v>
      </c>
      <c r="H110" s="13"/>
      <c r="I110" s="14"/>
      <c r="J110" s="13" t="str">
        <f ca="1">IFERROR(__xludf.DUMMYFUNCTION("IF(I109="""", """", RANK(I109, FILTER(I:I, I:I&lt;&gt;""""), 1))
"),"")</f>
        <v/>
      </c>
    </row>
    <row r="111" spans="1:10" ht="22.5" customHeight="1">
      <c r="A111" s="8" t="s">
        <v>277</v>
      </c>
      <c r="B111" s="10" t="s">
        <v>278</v>
      </c>
      <c r="C111" s="17" t="s">
        <v>279</v>
      </c>
      <c r="D111" s="17" t="s">
        <v>13</v>
      </c>
      <c r="E111" s="18" t="s">
        <v>30</v>
      </c>
      <c r="F111" s="19">
        <v>39.541400000000003</v>
      </c>
      <c r="G111" s="19">
        <v>-107.7912</v>
      </c>
      <c r="H111" s="20"/>
      <c r="I111" s="27"/>
      <c r="J111" s="20" t="str">
        <f ca="1">IFERROR(__xludf.DUMMYFUNCTION("IF(I110="""", """", RANK(I110, FILTER(I:I, I:I&lt;&gt;""""), 1))
"),"")</f>
        <v/>
      </c>
    </row>
    <row r="112" spans="1:10" ht="22.5" customHeight="1">
      <c r="A112" s="15" t="s">
        <v>280</v>
      </c>
      <c r="B112" s="17" t="s">
        <v>281</v>
      </c>
      <c r="C112" s="10" t="s">
        <v>199</v>
      </c>
      <c r="D112" s="10" t="s">
        <v>29</v>
      </c>
      <c r="E112" s="11" t="s">
        <v>14</v>
      </c>
      <c r="F112" s="19">
        <v>37.533700000000003</v>
      </c>
      <c r="G112" s="19">
        <v>-107.8335</v>
      </c>
      <c r="H112" s="13"/>
      <c r="I112" s="14"/>
      <c r="J112" s="13" t="str">
        <f ca="1">IFERROR(__xludf.DUMMYFUNCTION("IF(I111="""", """", RANK(I111, FILTER(I:I, I:I&lt;&gt;""""), 1))
"),"")</f>
        <v/>
      </c>
    </row>
    <row r="113" spans="1:10" ht="22.5" customHeight="1">
      <c r="A113" s="8" t="s">
        <v>282</v>
      </c>
      <c r="B113" s="10" t="s">
        <v>283</v>
      </c>
      <c r="C113" s="17" t="s">
        <v>284</v>
      </c>
      <c r="D113" s="17" t="s">
        <v>29</v>
      </c>
      <c r="E113" s="18" t="s">
        <v>22</v>
      </c>
      <c r="F113" s="19">
        <v>39.641500000000001</v>
      </c>
      <c r="G113" s="19">
        <v>-104.958</v>
      </c>
      <c r="H113" s="28" t="s">
        <v>48</v>
      </c>
      <c r="I113" s="21">
        <v>45763</v>
      </c>
      <c r="J113" s="22">
        <f ca="1">IFERROR(__xludf.DUMMYFUNCTION("IF(I112="""", """", RANK(I112, FILTER(I:I, I:I&lt;&gt;""""), 1))
"),86)</f>
        <v>86</v>
      </c>
    </row>
    <row r="114" spans="1:10" ht="22.5" customHeight="1">
      <c r="A114" s="15" t="s">
        <v>285</v>
      </c>
      <c r="B114" s="17" t="s">
        <v>286</v>
      </c>
      <c r="C114" s="10" t="s">
        <v>287</v>
      </c>
      <c r="D114" s="10" t="s">
        <v>13</v>
      </c>
      <c r="E114" s="11" t="s">
        <v>30</v>
      </c>
      <c r="F114" s="19">
        <v>39.548900000000003</v>
      </c>
      <c r="G114" s="19">
        <v>-107.32510000000001</v>
      </c>
      <c r="H114" s="13"/>
      <c r="I114" s="42"/>
      <c r="J114" s="13" t="str">
        <f ca="1">IFERROR(__xludf.DUMMYFUNCTION("IF(I113="""", """", RANK(I113, FILTER(I:I, I:I&lt;&gt;""""), 1))
"),"")</f>
        <v/>
      </c>
    </row>
    <row r="115" spans="1:10" ht="22.5" customHeight="1">
      <c r="A115" s="8" t="s">
        <v>288</v>
      </c>
      <c r="B115" s="10" t="s">
        <v>289</v>
      </c>
      <c r="C115" s="17" t="s">
        <v>290</v>
      </c>
      <c r="D115" s="17" t="s">
        <v>13</v>
      </c>
      <c r="E115" s="18" t="s">
        <v>30</v>
      </c>
      <c r="F115" s="19">
        <v>40.104599999999998</v>
      </c>
      <c r="G115" s="19">
        <v>-105.9395</v>
      </c>
      <c r="H115" s="20"/>
      <c r="I115" s="27"/>
      <c r="J115" s="20" t="str">
        <f ca="1">IFERROR(__xludf.DUMMYFUNCTION("IF(I114="""", """", RANK(I114, FILTER(I:I, I:I&lt;&gt;""""), 1))
"),"")</f>
        <v/>
      </c>
    </row>
    <row r="116" spans="1:10" ht="22.5" customHeight="1">
      <c r="A116" s="15" t="s">
        <v>291</v>
      </c>
      <c r="B116" s="17" t="s">
        <v>292</v>
      </c>
      <c r="C116" s="10" t="s">
        <v>290</v>
      </c>
      <c r="D116" s="10" t="s">
        <v>82</v>
      </c>
      <c r="E116" s="11" t="s">
        <v>30</v>
      </c>
      <c r="F116" s="19">
        <v>40.1098</v>
      </c>
      <c r="G116" s="19">
        <v>-105.9337</v>
      </c>
      <c r="H116" s="13"/>
      <c r="I116" s="14"/>
      <c r="J116" s="13" t="str">
        <f ca="1">IFERROR(__xludf.DUMMYFUNCTION("IF(I115="""", """", RANK(I115, FILTER(I:I, I:I&lt;&gt;""""), 1))
"),"")</f>
        <v/>
      </c>
    </row>
    <row r="117" spans="1:10" ht="22.5" customHeight="1">
      <c r="A117" s="8" t="s">
        <v>293</v>
      </c>
      <c r="B117" s="10" t="s">
        <v>294</v>
      </c>
      <c r="C117" s="17" t="s">
        <v>295</v>
      </c>
      <c r="D117" s="17" t="s">
        <v>13</v>
      </c>
      <c r="E117" s="18" t="s">
        <v>30</v>
      </c>
      <c r="F117" s="19">
        <v>40.241199999999999</v>
      </c>
      <c r="G117" s="19">
        <v>-105.8329</v>
      </c>
      <c r="H117" s="20"/>
      <c r="I117" s="27"/>
      <c r="J117" s="20" t="str">
        <f ca="1">IFERROR(__xludf.DUMMYFUNCTION("IF(I116="""", """", RANK(I116, FILTER(I:I, I:I&lt;&gt;""""), 1))
"),"")</f>
        <v/>
      </c>
    </row>
    <row r="118" spans="1:10" ht="22.5" customHeight="1">
      <c r="A118" s="43" t="s">
        <v>296</v>
      </c>
      <c r="B118" s="35" t="s">
        <v>297</v>
      </c>
      <c r="C118" s="10" t="s">
        <v>298</v>
      </c>
      <c r="D118" s="10" t="s">
        <v>29</v>
      </c>
      <c r="E118" s="11" t="s">
        <v>40</v>
      </c>
      <c r="F118" s="19">
        <v>40.215600000000002</v>
      </c>
      <c r="G118" s="19">
        <v>-104.9984</v>
      </c>
      <c r="H118" s="13"/>
      <c r="I118" s="14"/>
      <c r="J118" s="13" t="str">
        <f ca="1">IFERROR(__xludf.DUMMYFUNCTION("IF(I117="""", """", RANK(I117, FILTER(I:I, I:I&lt;&gt;""""), 1))
"),"")</f>
        <v/>
      </c>
    </row>
    <row r="119" spans="1:10" ht="22.5" customHeight="1">
      <c r="A119" s="15" t="s">
        <v>299</v>
      </c>
      <c r="B119" s="17" t="s">
        <v>300</v>
      </c>
      <c r="C119" s="17" t="s">
        <v>301</v>
      </c>
      <c r="D119" s="17" t="s">
        <v>13</v>
      </c>
      <c r="E119" s="18" t="s">
        <v>14</v>
      </c>
      <c r="F119" s="19">
        <v>37.496299999999998</v>
      </c>
      <c r="G119" s="19">
        <v>-105.0102</v>
      </c>
      <c r="H119" s="20"/>
      <c r="I119" s="27"/>
      <c r="J119" s="20" t="str">
        <f ca="1">IFERROR(__xludf.DUMMYFUNCTION("IF(I118="""", """", RANK(I118, FILTER(I:I, I:I&lt;&gt;""""), 1))
"),"")</f>
        <v/>
      </c>
    </row>
    <row r="120" spans="1:10" ht="22.5" customHeight="1">
      <c r="A120" s="8" t="s">
        <v>302</v>
      </c>
      <c r="B120" s="10" t="s">
        <v>303</v>
      </c>
      <c r="C120" s="10" t="s">
        <v>69</v>
      </c>
      <c r="D120" s="10" t="s">
        <v>29</v>
      </c>
      <c r="E120" s="44" t="s">
        <v>40</v>
      </c>
      <c r="F120" s="19">
        <v>40.423499999999997</v>
      </c>
      <c r="G120" s="19">
        <v>-104.7597</v>
      </c>
      <c r="H120" s="32" t="s">
        <v>48</v>
      </c>
      <c r="I120" s="33">
        <v>45898</v>
      </c>
      <c r="J120" s="34">
        <v>114</v>
      </c>
    </row>
    <row r="121" spans="1:10" ht="22.5" customHeight="1">
      <c r="A121" s="15" t="s">
        <v>304</v>
      </c>
      <c r="B121" s="17" t="s">
        <v>305</v>
      </c>
      <c r="C121" s="17" t="s">
        <v>47</v>
      </c>
      <c r="D121" s="17" t="s">
        <v>13</v>
      </c>
      <c r="E121" s="18" t="s">
        <v>22</v>
      </c>
      <c r="F121" s="19">
        <v>39.786496</v>
      </c>
      <c r="G121" s="19">
        <v>-104.753399</v>
      </c>
      <c r="H121" s="76" t="s">
        <v>693</v>
      </c>
      <c r="I121" s="21">
        <v>44374</v>
      </c>
      <c r="J121" s="22">
        <f ca="1">IFERROR(__xludf.DUMMYFUNCTION("IF(I120="""", """", RANK(I120, FILTER(I:I, I:I&lt;&gt;""""), 1))
"),25)</f>
        <v>25</v>
      </c>
    </row>
    <row r="122" spans="1:10" ht="22.5" customHeight="1">
      <c r="A122" s="8" t="s">
        <v>306</v>
      </c>
      <c r="B122" s="10" t="s">
        <v>305</v>
      </c>
      <c r="C122" s="10" t="s">
        <v>47</v>
      </c>
      <c r="D122" s="10" t="s">
        <v>13</v>
      </c>
      <c r="E122" s="44" t="s">
        <v>22</v>
      </c>
      <c r="F122" s="19">
        <v>39.783337000000003</v>
      </c>
      <c r="G122" s="19">
        <v>-104.75396600000001</v>
      </c>
      <c r="H122" s="36"/>
      <c r="I122" s="14"/>
      <c r="J122" s="13" t="str">
        <f ca="1">IFERROR(__xludf.DUMMYFUNCTION("IF(I121="""", """", RANK(I121, FILTER(I:I, I:I&lt;&gt;""""), 1))
"),"")</f>
        <v/>
      </c>
    </row>
    <row r="123" spans="1:10" ht="22.5" customHeight="1">
      <c r="A123" s="15" t="s">
        <v>307</v>
      </c>
      <c r="B123" s="17" t="s">
        <v>308</v>
      </c>
      <c r="C123" s="17" t="s">
        <v>85</v>
      </c>
      <c r="D123" s="17" t="s">
        <v>13</v>
      </c>
      <c r="E123" s="18" t="s">
        <v>22</v>
      </c>
      <c r="F123" s="19">
        <v>39.920699999999997</v>
      </c>
      <c r="G123" s="19">
        <v>-105.0864</v>
      </c>
      <c r="H123" s="20"/>
      <c r="I123" s="27"/>
      <c r="J123" s="20" t="str">
        <f ca="1">IFERROR(__xludf.DUMMYFUNCTION("IF(I122="""", """", RANK(I122, FILTER(I:I, I:I&lt;&gt;""""), 1))
"),"")</f>
        <v/>
      </c>
    </row>
    <row r="124" spans="1:10" ht="22.5" customHeight="1">
      <c r="A124" s="8" t="s">
        <v>309</v>
      </c>
      <c r="B124" s="10" t="s">
        <v>310</v>
      </c>
      <c r="C124" s="10" t="s">
        <v>311</v>
      </c>
      <c r="D124" s="10" t="s">
        <v>13</v>
      </c>
      <c r="E124" s="11" t="s">
        <v>22</v>
      </c>
      <c r="F124" s="19">
        <v>39.869500000000002</v>
      </c>
      <c r="G124" s="19">
        <v>-105.05370000000001</v>
      </c>
      <c r="H124" s="13"/>
      <c r="I124" s="14"/>
      <c r="J124" s="13" t="str">
        <f ca="1">IFERROR(__xludf.DUMMYFUNCTION("IF(I123="""", """", RANK(I123, FILTER(I:I, I:I&lt;&gt;""""), 1))
"),"")</f>
        <v/>
      </c>
    </row>
    <row r="125" spans="1:10" ht="22.5" customHeight="1">
      <c r="A125" s="15" t="s">
        <v>312</v>
      </c>
      <c r="B125" s="17" t="s">
        <v>310</v>
      </c>
      <c r="C125" s="17" t="s">
        <v>311</v>
      </c>
      <c r="D125" s="17" t="s">
        <v>13</v>
      </c>
      <c r="E125" s="18" t="s">
        <v>22</v>
      </c>
      <c r="F125" s="19">
        <v>39.869500000000002</v>
      </c>
      <c r="G125" s="19">
        <v>-105.05370000000001</v>
      </c>
      <c r="H125" s="20"/>
      <c r="I125" s="27"/>
      <c r="J125" s="20" t="str">
        <f ca="1">IFERROR(__xludf.DUMMYFUNCTION("IF(I124="""", """", RANK(I124, FILTER(I:I, I:I&lt;&gt;""""), 1))
"),"")</f>
        <v/>
      </c>
    </row>
    <row r="126" spans="1:10" ht="22.5" customHeight="1">
      <c r="A126" s="8" t="s">
        <v>313</v>
      </c>
      <c r="B126" s="10" t="s">
        <v>314</v>
      </c>
      <c r="C126" s="10" t="s">
        <v>315</v>
      </c>
      <c r="D126" s="10" t="s">
        <v>13</v>
      </c>
      <c r="E126" s="11" t="s">
        <v>30</v>
      </c>
      <c r="F126" s="19">
        <v>39.636299999999999</v>
      </c>
      <c r="G126" s="19">
        <v>-106.9584</v>
      </c>
      <c r="H126" s="13"/>
      <c r="I126" s="14"/>
      <c r="J126" s="13" t="str">
        <f ca="1">IFERROR(__xludf.DUMMYFUNCTION("IF(I125="""", """", RANK(I125, FILTER(I:I, I:I&lt;&gt;""""), 1))
"),"")</f>
        <v/>
      </c>
    </row>
    <row r="127" spans="1:10" ht="22.5" customHeight="1">
      <c r="A127" s="15" t="s">
        <v>316</v>
      </c>
      <c r="B127" s="17" t="s">
        <v>317</v>
      </c>
      <c r="C127" s="17" t="s">
        <v>318</v>
      </c>
      <c r="D127" s="17" t="s">
        <v>29</v>
      </c>
      <c r="E127" s="18" t="s">
        <v>40</v>
      </c>
      <c r="F127" s="19">
        <v>40.528700000000001</v>
      </c>
      <c r="G127" s="19">
        <v>-104.9751</v>
      </c>
      <c r="H127" s="28" t="s">
        <v>48</v>
      </c>
      <c r="I127" s="29">
        <v>45877</v>
      </c>
      <c r="J127" s="30">
        <f ca="1">IFERROR(__xludf.DUMMYFUNCTION("IF(I126="""", """", RANK(I126, FILTER(I:I, I:I&lt;&gt;""""), 1))
"),109)</f>
        <v>109</v>
      </c>
    </row>
    <row r="128" spans="1:10" ht="22.5" customHeight="1">
      <c r="A128" s="8" t="s">
        <v>319</v>
      </c>
      <c r="B128" s="10" t="s">
        <v>320</v>
      </c>
      <c r="C128" s="10" t="s">
        <v>47</v>
      </c>
      <c r="D128" s="10" t="s">
        <v>13</v>
      </c>
      <c r="E128" s="11" t="s">
        <v>22</v>
      </c>
      <c r="F128" s="19">
        <v>39.675600000000003</v>
      </c>
      <c r="G128" s="19">
        <v>-104.97929999999999</v>
      </c>
      <c r="H128" s="32" t="s">
        <v>48</v>
      </c>
      <c r="I128" s="24">
        <v>44765</v>
      </c>
      <c r="J128" s="25">
        <f ca="1">IFERROR(__xludf.DUMMYFUNCTION("IF(I127="""", """", RANK(I127, FILTER(I:I, I:I&lt;&gt;""""), 1))
"),38)</f>
        <v>38</v>
      </c>
    </row>
    <row r="129" spans="1:10" ht="22.5" customHeight="1">
      <c r="A129" s="15" t="s">
        <v>321</v>
      </c>
      <c r="B129" s="17" t="s">
        <v>322</v>
      </c>
      <c r="C129" s="17" t="s">
        <v>104</v>
      </c>
      <c r="D129" s="17" t="s">
        <v>13</v>
      </c>
      <c r="E129" s="18" t="s">
        <v>30</v>
      </c>
      <c r="F129" s="19">
        <v>40.482599999999998</v>
      </c>
      <c r="G129" s="19">
        <v>-106.7448</v>
      </c>
      <c r="H129" s="20"/>
      <c r="I129" s="27"/>
      <c r="J129" s="20" t="str">
        <f ca="1">IFERROR(__xludf.DUMMYFUNCTION("IF(I128="""", """", RANK(I128, FILTER(I:I, I:I&lt;&gt;""""), 1))
"),"")</f>
        <v/>
      </c>
    </row>
    <row r="130" spans="1:10" ht="22.5" customHeight="1">
      <c r="A130" s="8" t="s">
        <v>323</v>
      </c>
      <c r="B130" s="10" t="s">
        <v>324</v>
      </c>
      <c r="C130" s="10" t="s">
        <v>36</v>
      </c>
      <c r="D130" s="10" t="s">
        <v>13</v>
      </c>
      <c r="E130" s="11" t="s">
        <v>22</v>
      </c>
      <c r="F130" s="19">
        <v>39.664700000000003</v>
      </c>
      <c r="G130" s="19">
        <v>-104.8304</v>
      </c>
      <c r="H130" s="13"/>
      <c r="I130" s="14"/>
      <c r="J130" s="13" t="str">
        <f ca="1">IFERROR(__xludf.DUMMYFUNCTION("IF(I129="""", """", RANK(I129, FILTER(I:I, I:I&lt;&gt;""""), 1))
"),"")</f>
        <v/>
      </c>
    </row>
    <row r="131" spans="1:10" ht="22.5" customHeight="1">
      <c r="A131" s="15" t="s">
        <v>325</v>
      </c>
      <c r="B131" s="17" t="s">
        <v>326</v>
      </c>
      <c r="C131" s="17" t="s">
        <v>36</v>
      </c>
      <c r="D131" s="17" t="s">
        <v>13</v>
      </c>
      <c r="E131" s="18" t="s">
        <v>22</v>
      </c>
      <c r="F131" s="19">
        <v>39.674999999999997</v>
      </c>
      <c r="G131" s="19">
        <v>-104.83159999999999</v>
      </c>
      <c r="H131" s="45" t="s">
        <v>48</v>
      </c>
      <c r="I131" s="29">
        <v>45976</v>
      </c>
      <c r="J131" s="30">
        <f ca="1">IFERROR(__xludf.DUMMYFUNCTION("IF(I130="""", """", RANK(I130, FILTER(I:I, I:I&lt;&gt;""""), 1))
"),123)</f>
        <v>123</v>
      </c>
    </row>
    <row r="132" spans="1:10" ht="22.5" customHeight="1">
      <c r="A132" s="8" t="s">
        <v>327</v>
      </c>
      <c r="B132" s="12" t="s">
        <v>328</v>
      </c>
      <c r="C132" s="10" t="s">
        <v>329</v>
      </c>
      <c r="D132" s="10" t="s">
        <v>29</v>
      </c>
      <c r="E132" s="11" t="s">
        <v>40</v>
      </c>
      <c r="F132" s="19">
        <v>40.338200000000001</v>
      </c>
      <c r="G132" s="19">
        <v>-104.17489999999999</v>
      </c>
      <c r="H132" s="13"/>
      <c r="I132" s="14"/>
      <c r="J132" s="13" t="str">
        <f ca="1">IFERROR(__xludf.DUMMYFUNCTION("IF(I131="""", """", RANK(I131, FILTER(I:I, I:I&lt;&gt;""""), 1))
"),"")</f>
        <v/>
      </c>
    </row>
    <row r="133" spans="1:10" ht="22.5" customHeight="1">
      <c r="A133" s="8" t="s">
        <v>330</v>
      </c>
      <c r="B133" s="10" t="s">
        <v>331</v>
      </c>
      <c r="C133" s="17" t="s">
        <v>36</v>
      </c>
      <c r="D133" s="17" t="s">
        <v>13</v>
      </c>
      <c r="E133" s="18" t="s">
        <v>22</v>
      </c>
      <c r="F133" s="19">
        <v>39.536700000000003</v>
      </c>
      <c r="G133" s="19">
        <v>-104.7158</v>
      </c>
      <c r="H133" s="28" t="s">
        <v>48</v>
      </c>
      <c r="I133" s="21">
        <v>44844</v>
      </c>
      <c r="J133" s="22">
        <f ca="1">IFERROR(__xludf.DUMMYFUNCTION("IF(I132="""", """", RANK(I132, FILTER(I:I, I:I&lt;&gt;""""), 1))
"),43)</f>
        <v>43</v>
      </c>
    </row>
    <row r="134" spans="1:10" ht="22.5" customHeight="1">
      <c r="A134" s="15" t="s">
        <v>332</v>
      </c>
      <c r="B134" s="17" t="s">
        <v>333</v>
      </c>
      <c r="C134" s="10" t="s">
        <v>334</v>
      </c>
      <c r="D134" s="10" t="s">
        <v>13</v>
      </c>
      <c r="E134" s="11" t="s">
        <v>40</v>
      </c>
      <c r="F134" s="19">
        <v>40.451799999999999</v>
      </c>
      <c r="G134" s="19">
        <v>-104.9302</v>
      </c>
      <c r="H134" s="13"/>
      <c r="I134" s="14"/>
      <c r="J134" s="13" t="str">
        <f ca="1">IFERROR(__xludf.DUMMYFUNCTION("IF(I133="""", """", RANK(I133, FILTER(I:I, I:I&lt;&gt;""""), 1))
"),"")</f>
        <v/>
      </c>
    </row>
    <row r="135" spans="1:10" ht="22.5" customHeight="1">
      <c r="A135" s="8" t="s">
        <v>335</v>
      </c>
      <c r="B135" s="10" t="s">
        <v>336</v>
      </c>
      <c r="C135" s="17" t="s">
        <v>69</v>
      </c>
      <c r="D135" s="17" t="s">
        <v>13</v>
      </c>
      <c r="E135" s="18" t="s">
        <v>40</v>
      </c>
      <c r="F135" s="19">
        <v>40.418100000000003</v>
      </c>
      <c r="G135" s="19">
        <v>-104.7745</v>
      </c>
      <c r="H135" s="20"/>
      <c r="I135" s="27"/>
      <c r="J135" s="20" t="str">
        <f ca="1">IFERROR(__xludf.DUMMYFUNCTION("IF(I134="""", """", RANK(I134, FILTER(I:I, I:I&lt;&gt;""""), 1))
"),"")</f>
        <v/>
      </c>
    </row>
    <row r="136" spans="1:10" ht="22.5" customHeight="1">
      <c r="A136" s="15" t="s">
        <v>337</v>
      </c>
      <c r="B136" s="17" t="s">
        <v>338</v>
      </c>
      <c r="C136" s="10" t="s">
        <v>339</v>
      </c>
      <c r="D136" s="10" t="s">
        <v>13</v>
      </c>
      <c r="E136" s="11" t="s">
        <v>22</v>
      </c>
      <c r="F136" s="19">
        <v>39.553400000000003</v>
      </c>
      <c r="G136" s="19">
        <v>-105.01649999999999</v>
      </c>
      <c r="H136" s="13"/>
      <c r="I136" s="46">
        <v>44400</v>
      </c>
      <c r="J136" s="25">
        <f ca="1">IFERROR(__xludf.DUMMYFUNCTION("IF(I135="""", """", RANK(I135, FILTER(I:I, I:I&lt;&gt;""""), 1))
"),28)</f>
        <v>28</v>
      </c>
    </row>
    <row r="137" spans="1:10" ht="22.5" customHeight="1">
      <c r="A137" s="8" t="s">
        <v>340</v>
      </c>
      <c r="B137" s="10" t="s">
        <v>341</v>
      </c>
      <c r="C137" s="17" t="s">
        <v>199</v>
      </c>
      <c r="D137" s="17" t="s">
        <v>13</v>
      </c>
      <c r="E137" s="18" t="s">
        <v>14</v>
      </c>
      <c r="F137" s="19">
        <v>37.304600000000001</v>
      </c>
      <c r="G137" s="19">
        <v>-107.8801</v>
      </c>
      <c r="H137" s="20"/>
      <c r="I137" s="27"/>
      <c r="J137" s="20" t="str">
        <f ca="1">IFERROR(__xludf.DUMMYFUNCTION("IF(I136="""", """", RANK(I136, FILTER(I:I, I:I&lt;&gt;""""), 1))
"),"")</f>
        <v/>
      </c>
    </row>
    <row r="138" spans="1:10" ht="22.5" customHeight="1">
      <c r="A138" s="15" t="s">
        <v>342</v>
      </c>
      <c r="B138" s="17" t="s">
        <v>343</v>
      </c>
      <c r="C138" s="10" t="s">
        <v>243</v>
      </c>
      <c r="D138" s="10" t="s">
        <v>29</v>
      </c>
      <c r="E138" s="11" t="s">
        <v>22</v>
      </c>
      <c r="F138" s="19">
        <v>39.649799999999999</v>
      </c>
      <c r="G138" s="19">
        <v>-105.33620000000001</v>
      </c>
      <c r="H138" s="32" t="s">
        <v>48</v>
      </c>
      <c r="I138" s="24">
        <v>45475</v>
      </c>
      <c r="J138" s="25">
        <f ca="1">IFERROR(__xludf.DUMMYFUNCTION("IF(I137="""", """", RANK(I137, FILTER(I:I, I:I&lt;&gt;""""), 1))
"),70)</f>
        <v>70</v>
      </c>
    </row>
    <row r="139" spans="1:10" ht="22.5" customHeight="1">
      <c r="A139" s="8" t="s">
        <v>344</v>
      </c>
      <c r="B139" s="10" t="s">
        <v>345</v>
      </c>
      <c r="C139" s="17" t="s">
        <v>346</v>
      </c>
      <c r="D139" s="17" t="s">
        <v>13</v>
      </c>
      <c r="E139" s="18" t="s">
        <v>18</v>
      </c>
      <c r="F139" s="19">
        <v>37.945599999999999</v>
      </c>
      <c r="G139" s="19">
        <v>-104.8288</v>
      </c>
      <c r="H139" s="20"/>
      <c r="I139" s="27"/>
      <c r="J139" s="20" t="str">
        <f ca="1">IFERROR(__xludf.DUMMYFUNCTION("IF(I138="""", """", RANK(I138, FILTER(I:I, I:I&lt;&gt;""""), 1))
"),"")</f>
        <v/>
      </c>
    </row>
    <row r="140" spans="1:10" ht="22.5" customHeight="1">
      <c r="A140" s="15" t="s">
        <v>347</v>
      </c>
      <c r="B140" s="17" t="s">
        <v>348</v>
      </c>
      <c r="C140" s="10" t="s">
        <v>39</v>
      </c>
      <c r="D140" s="10" t="s">
        <v>13</v>
      </c>
      <c r="E140" s="11" t="s">
        <v>40</v>
      </c>
      <c r="F140" s="19">
        <v>40.5837</v>
      </c>
      <c r="G140" s="19">
        <v>-102.30249999999999</v>
      </c>
      <c r="H140" s="75" t="s">
        <v>709</v>
      </c>
      <c r="I140" s="14">
        <v>46141</v>
      </c>
      <c r="J140" s="13">
        <v>126</v>
      </c>
    </row>
    <row r="141" spans="1:10" ht="22.5" customHeight="1">
      <c r="A141" s="8" t="s">
        <v>349</v>
      </c>
      <c r="B141" s="10" t="s">
        <v>350</v>
      </c>
      <c r="C141" s="17" t="s">
        <v>272</v>
      </c>
      <c r="D141" s="17" t="s">
        <v>13</v>
      </c>
      <c r="E141" s="18" t="s">
        <v>22</v>
      </c>
      <c r="F141" s="19">
        <v>39.653100000000002</v>
      </c>
      <c r="G141" s="19">
        <v>-105.1253</v>
      </c>
      <c r="H141" s="20"/>
      <c r="I141" s="27"/>
      <c r="J141" s="20" t="str">
        <f ca="1">IFERROR(__xludf.DUMMYFUNCTION("IF(I140="""", """", RANK(I140, FILTER(I:I, I:I&lt;&gt;""""), 1))
"),"")</f>
        <v/>
      </c>
    </row>
    <row r="142" spans="1:10" ht="22.5" customHeight="1">
      <c r="A142" s="15" t="s">
        <v>351</v>
      </c>
      <c r="B142" s="17" t="s">
        <v>352</v>
      </c>
      <c r="C142" s="10" t="s">
        <v>353</v>
      </c>
      <c r="D142" s="10" t="s">
        <v>13</v>
      </c>
      <c r="E142" s="11" t="s">
        <v>18</v>
      </c>
      <c r="F142" s="19">
        <v>38.973500000000001</v>
      </c>
      <c r="G142" s="19">
        <v>-103.4824</v>
      </c>
      <c r="H142" s="32" t="s">
        <v>48</v>
      </c>
      <c r="I142" s="33">
        <v>45869</v>
      </c>
      <c r="J142" s="34">
        <v>107</v>
      </c>
    </row>
    <row r="143" spans="1:10" ht="22.5" customHeight="1">
      <c r="A143" s="8" t="s">
        <v>354</v>
      </c>
      <c r="B143" s="10" t="s">
        <v>355</v>
      </c>
      <c r="C143" s="17" t="s">
        <v>356</v>
      </c>
      <c r="D143" s="17" t="s">
        <v>13</v>
      </c>
      <c r="E143" s="18" t="s">
        <v>14</v>
      </c>
      <c r="F143" s="19">
        <v>37.127400000000002</v>
      </c>
      <c r="G143" s="19">
        <v>-107.6383</v>
      </c>
      <c r="H143" s="20"/>
      <c r="I143" s="27"/>
      <c r="J143" s="20" t="str">
        <f ca="1">IFERROR(__xludf.DUMMYFUNCTION("IF(I142="""", """", RANK(I142, FILTER(I:I, I:I&lt;&gt;""""), 1))
"),"")</f>
        <v/>
      </c>
    </row>
    <row r="144" spans="1:10" ht="22.5" customHeight="1">
      <c r="A144" s="15" t="s">
        <v>357</v>
      </c>
      <c r="B144" s="17" t="s">
        <v>310</v>
      </c>
      <c r="C144" s="10" t="s">
        <v>311</v>
      </c>
      <c r="D144" s="10" t="s">
        <v>13</v>
      </c>
      <c r="E144" s="11" t="s">
        <v>22</v>
      </c>
      <c r="F144" s="19">
        <v>39.872948999999998</v>
      </c>
      <c r="G144" s="19">
        <v>-105.05161099999999</v>
      </c>
      <c r="H144" s="32" t="s">
        <v>48</v>
      </c>
      <c r="I144" s="24">
        <v>45766</v>
      </c>
      <c r="J144" s="25">
        <f ca="1">IFERROR(__xludf.DUMMYFUNCTION("IF(I143="""", """", RANK(I143, FILTER(I:I, I:I&lt;&gt;""""), 1))
"),87)</f>
        <v>87</v>
      </c>
    </row>
    <row r="145" spans="1:10" ht="22.5" customHeight="1">
      <c r="A145" s="8" t="s">
        <v>358</v>
      </c>
      <c r="B145" s="10" t="s">
        <v>359</v>
      </c>
      <c r="C145" s="40" t="s">
        <v>360</v>
      </c>
      <c r="D145" s="40" t="s">
        <v>13</v>
      </c>
      <c r="E145" s="41" t="s">
        <v>40</v>
      </c>
      <c r="F145" s="19">
        <v>40.122599999999998</v>
      </c>
      <c r="G145" s="19">
        <v>-102.7242</v>
      </c>
      <c r="H145" s="20"/>
      <c r="I145" s="27"/>
      <c r="J145" s="20" t="str">
        <f ca="1">IFERROR(__xludf.DUMMYFUNCTION("IF(I144="""", """", RANK(I144, FILTER(I:I, I:I&lt;&gt;""""), 1))
"),"")</f>
        <v/>
      </c>
    </row>
    <row r="146" spans="1:10" ht="22.5" customHeight="1">
      <c r="A146" s="15" t="s">
        <v>361</v>
      </c>
      <c r="B146" s="17" t="s">
        <v>362</v>
      </c>
      <c r="C146" s="47" t="s">
        <v>363</v>
      </c>
      <c r="D146" s="47" t="s">
        <v>13</v>
      </c>
      <c r="E146" s="44" t="s">
        <v>22</v>
      </c>
      <c r="F146" s="19">
        <v>39.998699999999999</v>
      </c>
      <c r="G146" s="19">
        <v>-105.10250000000001</v>
      </c>
      <c r="H146" s="13"/>
      <c r="I146" s="14"/>
      <c r="J146" s="13" t="str">
        <f ca="1">IFERROR(__xludf.DUMMYFUNCTION("IF(I145="""", """", RANK(I145, FILTER(I:I, I:I&lt;&gt;""""), 1))
"),"")</f>
        <v/>
      </c>
    </row>
    <row r="147" spans="1:10" ht="22.5" customHeight="1">
      <c r="A147" s="8" t="s">
        <v>364</v>
      </c>
      <c r="B147" s="10" t="s">
        <v>365</v>
      </c>
      <c r="C147" s="40" t="s">
        <v>366</v>
      </c>
      <c r="D147" s="40" t="s">
        <v>13</v>
      </c>
      <c r="E147" s="41" t="s">
        <v>22</v>
      </c>
      <c r="F147" s="35">
        <v>39.832512000000001</v>
      </c>
      <c r="G147" s="35">
        <v>-105.08669399999999</v>
      </c>
      <c r="H147" s="20"/>
      <c r="I147" s="21">
        <v>45614</v>
      </c>
      <c r="J147" s="22">
        <f ca="1">IFERROR(__xludf.DUMMYFUNCTION("IF(I146="""", """", RANK(I146, FILTER(I:I, I:I&lt;&gt;""""), 1))
"),75)</f>
        <v>75</v>
      </c>
    </row>
    <row r="148" spans="1:10" ht="22.5" customHeight="1">
      <c r="A148" s="15" t="s">
        <v>367</v>
      </c>
      <c r="B148" s="17" t="s">
        <v>365</v>
      </c>
      <c r="C148" s="47" t="s">
        <v>366</v>
      </c>
      <c r="D148" s="47" t="s">
        <v>13</v>
      </c>
      <c r="E148" s="44" t="s">
        <v>22</v>
      </c>
      <c r="F148" s="19">
        <v>39.834584</v>
      </c>
      <c r="G148" s="12">
        <v>-105.084051</v>
      </c>
      <c r="H148" s="36"/>
      <c r="I148" s="42"/>
      <c r="J148" s="48" t="str">
        <f ca="1">IFERROR(__xludf.DUMMYFUNCTION("IF(I147="""", """", RANK(I147, FILTER(I:I, I:I&lt;&gt;""""), 1))
"),"")</f>
        <v/>
      </c>
    </row>
    <row r="149" spans="1:10" ht="22.5" customHeight="1">
      <c r="A149" s="8" t="s">
        <v>368</v>
      </c>
      <c r="B149" s="10" t="s">
        <v>369</v>
      </c>
      <c r="C149" s="40" t="s">
        <v>92</v>
      </c>
      <c r="D149" s="40" t="s">
        <v>29</v>
      </c>
      <c r="E149" s="41" t="s">
        <v>22</v>
      </c>
      <c r="F149" s="19">
        <v>39.577300000000001</v>
      </c>
      <c r="G149" s="19">
        <v>-104.86069999999999</v>
      </c>
      <c r="H149" s="49" t="s">
        <v>48</v>
      </c>
      <c r="I149" s="50">
        <v>45516</v>
      </c>
      <c r="J149" s="51">
        <f ca="1">IFERROR(__xludf.DUMMYFUNCTION("IF(I148="""", """", RANK(I148, FILTER(I:I, I:I&lt;&gt;""""), 1))
"),72)</f>
        <v>72</v>
      </c>
    </row>
    <row r="150" spans="1:10" ht="22.5" customHeight="1">
      <c r="A150" s="15" t="s">
        <v>370</v>
      </c>
      <c r="B150" s="17" t="s">
        <v>371</v>
      </c>
      <c r="C150" s="47" t="s">
        <v>287</v>
      </c>
      <c r="D150" s="47" t="s">
        <v>13</v>
      </c>
      <c r="E150" s="44" t="s">
        <v>30</v>
      </c>
      <c r="F150" s="19">
        <v>39.566099999999999</v>
      </c>
      <c r="G150" s="19">
        <v>-107.3409</v>
      </c>
      <c r="H150" s="36"/>
      <c r="I150" s="42"/>
      <c r="J150" s="48" t="str">
        <f ca="1">IFERROR(__xludf.DUMMYFUNCTION("IF(I149="""", """", RANK(I149, FILTER(I:I, I:I&lt;&gt;""""), 1))
"),"")</f>
        <v/>
      </c>
    </row>
    <row r="151" spans="1:10" ht="22.5" customHeight="1">
      <c r="A151" s="8" t="s">
        <v>372</v>
      </c>
      <c r="B151" s="10" t="s">
        <v>373</v>
      </c>
      <c r="C151" s="40" t="s">
        <v>47</v>
      </c>
      <c r="D151" s="40" t="s">
        <v>13</v>
      </c>
      <c r="E151" s="41" t="s">
        <v>22</v>
      </c>
      <c r="F151" s="19">
        <v>39.654429999999998</v>
      </c>
      <c r="G151" s="35">
        <v>-104.86127500000001</v>
      </c>
      <c r="H151" s="52"/>
      <c r="I151" s="50">
        <v>45106</v>
      </c>
      <c r="J151" s="51">
        <f ca="1">IFERROR(__xludf.DUMMYFUNCTION("IF(I150="""", """", RANK(I150, FILTER(I:I, I:I&lt;&gt;""""), 1))
"),48)</f>
        <v>48</v>
      </c>
    </row>
    <row r="152" spans="1:10" ht="22.5" customHeight="1">
      <c r="A152" s="15" t="s">
        <v>374</v>
      </c>
      <c r="B152" s="17" t="s">
        <v>373</v>
      </c>
      <c r="C152" s="47" t="s">
        <v>47</v>
      </c>
      <c r="D152" s="47" t="s">
        <v>13</v>
      </c>
      <c r="E152" s="44" t="s">
        <v>22</v>
      </c>
      <c r="F152" s="12">
        <v>39.656829999999999</v>
      </c>
      <c r="G152" s="12">
        <v>-104.863529</v>
      </c>
      <c r="H152" s="36"/>
      <c r="I152" s="53">
        <v>45106</v>
      </c>
      <c r="J152" s="54">
        <v>49</v>
      </c>
    </row>
    <row r="153" spans="1:10" ht="22.5" customHeight="1">
      <c r="A153" s="8" t="s">
        <v>375</v>
      </c>
      <c r="B153" s="10" t="s">
        <v>373</v>
      </c>
      <c r="C153" s="40" t="s">
        <v>47</v>
      </c>
      <c r="D153" s="40" t="s">
        <v>13</v>
      </c>
      <c r="E153" s="41" t="s">
        <v>22</v>
      </c>
      <c r="F153" s="35">
        <v>39.651778</v>
      </c>
      <c r="G153" s="35">
        <v>-104.864007</v>
      </c>
      <c r="H153" s="52"/>
      <c r="I153" s="55"/>
      <c r="J153" s="56"/>
    </row>
    <row r="154" spans="1:10" ht="22.5" customHeight="1">
      <c r="A154" s="15" t="s">
        <v>376</v>
      </c>
      <c r="B154" s="17" t="s">
        <v>373</v>
      </c>
      <c r="C154" s="47" t="s">
        <v>47</v>
      </c>
      <c r="D154" s="47" t="s">
        <v>13</v>
      </c>
      <c r="E154" s="44" t="s">
        <v>22</v>
      </c>
      <c r="F154" s="12">
        <v>39.651730000000001</v>
      </c>
      <c r="G154" s="12">
        <v>-104.86719100000001</v>
      </c>
      <c r="H154" s="57" t="s">
        <v>48</v>
      </c>
      <c r="I154" s="58">
        <v>45972</v>
      </c>
      <c r="J154" s="54">
        <f ca="1">IFERROR(__xludf.DUMMYFUNCTION("IF(I153="""", """", RANK(I153, FILTER(I:I, I:I&lt;&gt;""""), 1))
"),122)</f>
        <v>122</v>
      </c>
    </row>
    <row r="155" spans="1:10" ht="22.5" customHeight="1">
      <c r="A155" s="8" t="s">
        <v>377</v>
      </c>
      <c r="B155" s="10" t="s">
        <v>373</v>
      </c>
      <c r="C155" s="40" t="s">
        <v>47</v>
      </c>
      <c r="D155" s="40" t="s">
        <v>13</v>
      </c>
      <c r="E155" s="41" t="s">
        <v>22</v>
      </c>
      <c r="F155" s="35">
        <v>39.6524</v>
      </c>
      <c r="G155" s="35">
        <v>-104.871267</v>
      </c>
      <c r="H155" s="49" t="s">
        <v>48</v>
      </c>
      <c r="I155" s="59">
        <v>45792</v>
      </c>
      <c r="J155" s="60">
        <f ca="1">IFERROR(__xludf.DUMMYFUNCTION("IF(I154="""", """", RANK(I154, FILTER(I:I, I:I&lt;&gt;""""), 1))
"),92)</f>
        <v>92</v>
      </c>
    </row>
    <row r="156" spans="1:10" ht="22.5" customHeight="1">
      <c r="A156" s="15" t="s">
        <v>378</v>
      </c>
      <c r="B156" s="17" t="s">
        <v>379</v>
      </c>
      <c r="C156" s="47" t="s">
        <v>380</v>
      </c>
      <c r="D156" s="47" t="s">
        <v>381</v>
      </c>
      <c r="E156" s="44" t="s">
        <v>30</v>
      </c>
      <c r="F156" s="19">
        <v>39.608699999999999</v>
      </c>
      <c r="G156" s="19">
        <v>-105.96720000000001</v>
      </c>
      <c r="H156" s="36"/>
      <c r="I156" s="53">
        <v>45530</v>
      </c>
      <c r="J156" s="61">
        <f ca="1">IFERROR(__xludf.DUMMYFUNCTION("IF(I155="""", """", RANK(I155, FILTER(I:I, I:I&lt;&gt;""""), 1))
"),73)</f>
        <v>73</v>
      </c>
    </row>
    <row r="157" spans="1:10" ht="22.5" customHeight="1">
      <c r="A157" s="8" t="s">
        <v>382</v>
      </c>
      <c r="B157" s="10" t="s">
        <v>383</v>
      </c>
      <c r="C157" s="40" t="s">
        <v>186</v>
      </c>
      <c r="D157" s="40" t="s">
        <v>82</v>
      </c>
      <c r="E157" s="41" t="s">
        <v>18</v>
      </c>
      <c r="F157" s="19">
        <v>39.093499999999999</v>
      </c>
      <c r="G157" s="19">
        <v>-104.8674</v>
      </c>
      <c r="H157" s="52"/>
      <c r="I157" s="50">
        <v>43757</v>
      </c>
      <c r="J157" s="51">
        <f ca="1">IFERROR(__xludf.DUMMYFUNCTION("IF(I156="""", """", RANK(I156, FILTER(I:I, I:I&lt;&gt;""""), 1))
"),17)</f>
        <v>17</v>
      </c>
    </row>
    <row r="158" spans="1:10" ht="22.5" customHeight="1">
      <c r="A158" s="15" t="s">
        <v>384</v>
      </c>
      <c r="B158" s="17" t="s">
        <v>385</v>
      </c>
      <c r="C158" s="47" t="s">
        <v>88</v>
      </c>
      <c r="D158" s="47" t="s">
        <v>29</v>
      </c>
      <c r="E158" s="44" t="s">
        <v>18</v>
      </c>
      <c r="F158" s="19">
        <v>38.887900000000002</v>
      </c>
      <c r="G158" s="19">
        <v>-104.8706</v>
      </c>
      <c r="H158" s="36"/>
      <c r="I158" s="53">
        <v>44819</v>
      </c>
      <c r="J158" s="61">
        <f ca="1">IFERROR(__xludf.DUMMYFUNCTION("IF(I157="""", """", RANK(I157, FILTER(I:I, I:I&lt;&gt;""""), 1))
"),41)</f>
        <v>41</v>
      </c>
    </row>
    <row r="159" spans="1:10" ht="22.5" customHeight="1">
      <c r="A159" s="8" t="s">
        <v>386</v>
      </c>
      <c r="B159" s="10" t="s">
        <v>385</v>
      </c>
      <c r="C159" s="40" t="s">
        <v>88</v>
      </c>
      <c r="D159" s="40" t="s">
        <v>29</v>
      </c>
      <c r="E159" s="41" t="s">
        <v>18</v>
      </c>
      <c r="F159" s="19">
        <v>38.887900000000002</v>
      </c>
      <c r="G159" s="19">
        <v>-104.8706</v>
      </c>
      <c r="H159" s="52"/>
      <c r="I159" s="50">
        <v>43707</v>
      </c>
      <c r="J159" s="51">
        <f ca="1">IFERROR(__xludf.DUMMYFUNCTION("IF(I158="""", """", RANK(I158, FILTER(I:I, I:I&lt;&gt;""""), 1))
"),11)</f>
        <v>11</v>
      </c>
    </row>
    <row r="160" spans="1:10" ht="22.5" customHeight="1">
      <c r="A160" s="15" t="s">
        <v>387</v>
      </c>
      <c r="B160" s="17" t="s">
        <v>385</v>
      </c>
      <c r="C160" s="47" t="s">
        <v>88</v>
      </c>
      <c r="D160" s="47" t="s">
        <v>29</v>
      </c>
      <c r="E160" s="44" t="s">
        <v>18</v>
      </c>
      <c r="F160" s="19">
        <v>38.887900000000002</v>
      </c>
      <c r="G160" s="19">
        <v>-104.8706</v>
      </c>
      <c r="H160" s="36"/>
      <c r="I160" s="53">
        <v>43707</v>
      </c>
      <c r="J160" s="61">
        <v>12</v>
      </c>
    </row>
    <row r="161" spans="1:10" ht="22.5" customHeight="1">
      <c r="A161" s="8" t="s">
        <v>388</v>
      </c>
      <c r="B161" s="10" t="s">
        <v>389</v>
      </c>
      <c r="C161" s="40" t="s">
        <v>390</v>
      </c>
      <c r="D161" s="40" t="s">
        <v>13</v>
      </c>
      <c r="E161" s="41" t="s">
        <v>18</v>
      </c>
      <c r="F161" s="19">
        <v>37.994399999999999</v>
      </c>
      <c r="G161" s="19">
        <v>-103.5467</v>
      </c>
      <c r="H161" s="52"/>
      <c r="I161" s="55"/>
      <c r="J161" s="56" t="str">
        <f ca="1">IFERROR(__xludf.DUMMYFUNCTION("IF(I160="""", """", RANK(I160, FILTER(I:I, I:I&lt;&gt;""""), 1))
"),"")</f>
        <v/>
      </c>
    </row>
    <row r="162" spans="1:10" ht="22.5" customHeight="1">
      <c r="A162" s="15" t="s">
        <v>391</v>
      </c>
      <c r="B162" s="17" t="s">
        <v>392</v>
      </c>
      <c r="C162" s="47" t="s">
        <v>366</v>
      </c>
      <c r="D162" s="47" t="s">
        <v>13</v>
      </c>
      <c r="E162" s="44" t="s">
        <v>22</v>
      </c>
      <c r="F162" s="19">
        <v>39.849200000000003</v>
      </c>
      <c r="G162" s="19">
        <v>-105.0813</v>
      </c>
      <c r="H162" s="36"/>
      <c r="I162" s="42"/>
      <c r="J162" s="48" t="str">
        <f ca="1">IFERROR(__xludf.DUMMYFUNCTION("IF(I161="""", """", RANK(I161, FILTER(I:I, I:I&lt;&gt;""""), 1))
"),"")</f>
        <v/>
      </c>
    </row>
    <row r="163" spans="1:10" ht="22.5" customHeight="1">
      <c r="A163" s="8" t="s">
        <v>393</v>
      </c>
      <c r="B163" s="10" t="s">
        <v>394</v>
      </c>
      <c r="C163" s="40" t="s">
        <v>240</v>
      </c>
      <c r="D163" s="40" t="s">
        <v>13</v>
      </c>
      <c r="E163" s="41" t="s">
        <v>30</v>
      </c>
      <c r="F163" s="19">
        <v>40.377299999999998</v>
      </c>
      <c r="G163" s="19">
        <v>-105.5185</v>
      </c>
      <c r="H163" s="52"/>
      <c r="I163" s="55"/>
      <c r="J163" s="56" t="str">
        <f ca="1">IFERROR(__xludf.DUMMYFUNCTION("IF(I162="""", """", RANK(I162, FILTER(I:I, I:I&lt;&gt;""""), 1))
"),"")</f>
        <v/>
      </c>
    </row>
    <row r="164" spans="1:10" ht="22.5" customHeight="1">
      <c r="A164" s="15" t="s">
        <v>395</v>
      </c>
      <c r="B164" s="17" t="s">
        <v>396</v>
      </c>
      <c r="C164" s="47" t="s">
        <v>397</v>
      </c>
      <c r="D164" s="47" t="s">
        <v>29</v>
      </c>
      <c r="E164" s="44" t="s">
        <v>40</v>
      </c>
      <c r="F164" s="19">
        <v>40.093800000000002</v>
      </c>
      <c r="G164" s="19">
        <v>-105.1694</v>
      </c>
      <c r="H164" s="36"/>
      <c r="I164" s="42"/>
      <c r="J164" s="48" t="str">
        <f ca="1">IFERROR(__xludf.DUMMYFUNCTION("IF(I163="""", """", RANK(I163, FILTER(I:I, I:I&lt;&gt;""""), 1))
"),"")</f>
        <v/>
      </c>
    </row>
    <row r="165" spans="1:10" ht="22.5" customHeight="1">
      <c r="A165" s="8" t="s">
        <v>398</v>
      </c>
      <c r="B165" s="10" t="s">
        <v>399</v>
      </c>
      <c r="C165" s="40" t="s">
        <v>272</v>
      </c>
      <c r="D165" s="40" t="s">
        <v>29</v>
      </c>
      <c r="E165" s="41" t="s">
        <v>22</v>
      </c>
      <c r="F165" s="19">
        <v>39.732199999999999</v>
      </c>
      <c r="G165" s="19">
        <v>-105.0735</v>
      </c>
      <c r="H165" s="62" t="s">
        <v>48</v>
      </c>
      <c r="I165" s="50">
        <v>45397</v>
      </c>
      <c r="J165" s="51">
        <f ca="1">IFERROR(__xludf.DUMMYFUNCTION("IF(I164="""", """", RANK(I164, FILTER(I:I, I:I&lt;&gt;""""), 1))
"),63)</f>
        <v>63</v>
      </c>
    </row>
    <row r="166" spans="1:10" ht="22.5" customHeight="1">
      <c r="A166" s="15" t="s">
        <v>400</v>
      </c>
      <c r="B166" s="17" t="s">
        <v>401</v>
      </c>
      <c r="C166" s="47" t="s">
        <v>402</v>
      </c>
      <c r="D166" s="47" t="s">
        <v>13</v>
      </c>
      <c r="E166" s="44" t="s">
        <v>14</v>
      </c>
      <c r="F166" s="19">
        <v>39.584400000000002</v>
      </c>
      <c r="G166" s="19">
        <v>-107.5431</v>
      </c>
      <c r="H166" s="36"/>
      <c r="I166" s="42"/>
      <c r="J166" s="48" t="str">
        <f ca="1">IFERROR(__xludf.DUMMYFUNCTION("IF(I165="""", """", RANK(I165, FILTER(I:I, I:I&lt;&gt;""""), 1))
"),"")</f>
        <v/>
      </c>
    </row>
    <row r="167" spans="1:10" ht="22.5" customHeight="1">
      <c r="A167" s="8" t="s">
        <v>403</v>
      </c>
      <c r="B167" s="10" t="s">
        <v>404</v>
      </c>
      <c r="C167" s="40" t="s">
        <v>405</v>
      </c>
      <c r="D167" s="40" t="s">
        <v>13</v>
      </c>
      <c r="E167" s="41" t="s">
        <v>18</v>
      </c>
      <c r="F167" s="19">
        <v>38.065300000000001</v>
      </c>
      <c r="G167" s="19">
        <v>-103.21639999999999</v>
      </c>
      <c r="H167" s="52"/>
      <c r="I167" s="55"/>
      <c r="J167" s="56" t="str">
        <f ca="1">IFERROR(__xludf.DUMMYFUNCTION("IF(I166="""", """", RANK(I166, FILTER(I:I, I:I&lt;&gt;""""), 1))
"),"")</f>
        <v/>
      </c>
    </row>
    <row r="168" spans="1:10" ht="22.5" customHeight="1">
      <c r="A168" s="15" t="s">
        <v>406</v>
      </c>
      <c r="B168" s="17" t="s">
        <v>407</v>
      </c>
      <c r="C168" s="10" t="s">
        <v>311</v>
      </c>
      <c r="D168" s="10" t="s">
        <v>13</v>
      </c>
      <c r="E168" s="11" t="s">
        <v>22</v>
      </c>
      <c r="F168" s="19">
        <v>39.887500000000003</v>
      </c>
      <c r="G168" s="19">
        <v>-105.06019999999999</v>
      </c>
      <c r="H168" s="36"/>
      <c r="I168" s="53">
        <v>44398</v>
      </c>
      <c r="J168" s="61">
        <f ca="1">IFERROR(__xludf.DUMMYFUNCTION("IF(I167="""", """", RANK(I167, FILTER(I:I, I:I&lt;&gt;""""), 1))
"),27)</f>
        <v>27</v>
      </c>
    </row>
    <row r="169" spans="1:10" ht="22.5" customHeight="1">
      <c r="A169" s="8" t="s">
        <v>408</v>
      </c>
      <c r="B169" s="10" t="s">
        <v>409</v>
      </c>
      <c r="C169" s="17" t="s">
        <v>66</v>
      </c>
      <c r="D169" s="17" t="s">
        <v>13</v>
      </c>
      <c r="E169" s="18" t="s">
        <v>14</v>
      </c>
      <c r="F169" s="19">
        <v>39.086599999999997</v>
      </c>
      <c r="G169" s="19">
        <v>-108.5752</v>
      </c>
      <c r="H169" s="52"/>
      <c r="I169" s="55"/>
      <c r="J169" s="56" t="str">
        <f ca="1">IFERROR(__xludf.DUMMYFUNCTION("IF(I168="""", """", RANK(I168, FILTER(I:I, I:I&lt;&gt;""""), 1))
"),"")</f>
        <v/>
      </c>
    </row>
    <row r="170" spans="1:10" ht="22.5" customHeight="1">
      <c r="A170" s="15" t="s">
        <v>410</v>
      </c>
      <c r="B170" s="17" t="s">
        <v>411</v>
      </c>
      <c r="C170" s="10" t="s">
        <v>339</v>
      </c>
      <c r="D170" s="10" t="s">
        <v>13</v>
      </c>
      <c r="E170" s="11" t="s">
        <v>22</v>
      </c>
      <c r="F170" s="19">
        <v>39.533900000000003</v>
      </c>
      <c r="G170" s="19">
        <v>-104.9324</v>
      </c>
      <c r="H170" s="32" t="s">
        <v>48</v>
      </c>
      <c r="I170" s="33">
        <v>45947</v>
      </c>
      <c r="J170" s="34">
        <f ca="1">IFERROR(__xludf.DUMMYFUNCTION("IF(I169="""", """", RANK(I169, FILTER(I:I, I:I&lt;&gt;""""), 1))
"),117)</f>
        <v>117</v>
      </c>
    </row>
    <row r="171" spans="1:10" ht="22.5" customHeight="1">
      <c r="A171" s="8" t="s">
        <v>412</v>
      </c>
      <c r="B171" s="10" t="s">
        <v>413</v>
      </c>
      <c r="C171" s="17" t="s">
        <v>25</v>
      </c>
      <c r="D171" s="17" t="s">
        <v>13</v>
      </c>
      <c r="E171" s="18" t="s">
        <v>22</v>
      </c>
      <c r="F171" s="19">
        <v>39.615699999999997</v>
      </c>
      <c r="G171" s="19">
        <v>-105.0256</v>
      </c>
      <c r="H171" s="28" t="s">
        <v>48</v>
      </c>
      <c r="I171" s="29">
        <v>45818</v>
      </c>
      <c r="J171" s="30">
        <f ca="1">IFERROR(__xludf.DUMMYFUNCTION("IF(I170="""", """", RANK(I170, FILTER(I:I, I:I&lt;&gt;""""), 1))
"),101)</f>
        <v>101</v>
      </c>
    </row>
    <row r="172" spans="1:10" ht="22.5" customHeight="1">
      <c r="A172" s="15" t="s">
        <v>414</v>
      </c>
      <c r="B172" s="17" t="s">
        <v>415</v>
      </c>
      <c r="C172" s="10" t="s">
        <v>416</v>
      </c>
      <c r="D172" s="10" t="s">
        <v>13</v>
      </c>
      <c r="E172" s="11" t="s">
        <v>22</v>
      </c>
      <c r="F172" s="19">
        <v>39.530700000000003</v>
      </c>
      <c r="G172" s="19">
        <v>-104.88639999999999</v>
      </c>
      <c r="H172" s="32" t="s">
        <v>48</v>
      </c>
      <c r="I172" s="33">
        <v>45775</v>
      </c>
      <c r="J172" s="34">
        <f ca="1">IFERROR(__xludf.DUMMYFUNCTION("IF(I171="""", """", RANK(I171, FILTER(I:I, I:I&lt;&gt;""""), 1))
"),89)</f>
        <v>89</v>
      </c>
    </row>
    <row r="173" spans="1:10" ht="22.5" customHeight="1">
      <c r="A173" s="8" t="s">
        <v>417</v>
      </c>
      <c r="B173" s="10" t="s">
        <v>418</v>
      </c>
      <c r="C173" s="17" t="s">
        <v>419</v>
      </c>
      <c r="D173" s="17" t="s">
        <v>13</v>
      </c>
      <c r="E173" s="18" t="s">
        <v>40</v>
      </c>
      <c r="F173" s="19">
        <v>40.326799999999999</v>
      </c>
      <c r="G173" s="19">
        <v>-104.8579</v>
      </c>
      <c r="H173" s="20"/>
      <c r="I173" s="21">
        <v>45746</v>
      </c>
      <c r="J173" s="22">
        <f ca="1">IFERROR(__xludf.DUMMYFUNCTION("IF(I172="""", """", RANK(I172, FILTER(I:I, I:I&lt;&gt;""""), 1))
"),84)</f>
        <v>84</v>
      </c>
    </row>
    <row r="174" spans="1:10" ht="22.5" customHeight="1">
      <c r="A174" s="15" t="s">
        <v>420</v>
      </c>
      <c r="B174" s="17" t="s">
        <v>421</v>
      </c>
      <c r="C174" s="10" t="s">
        <v>107</v>
      </c>
      <c r="D174" s="10" t="s">
        <v>13</v>
      </c>
      <c r="E174" s="11" t="s">
        <v>40</v>
      </c>
      <c r="F174" s="19">
        <v>40.379600000000003</v>
      </c>
      <c r="G174" s="19">
        <v>-105.1117</v>
      </c>
      <c r="H174" s="13"/>
      <c r="I174" s="33">
        <v>45719</v>
      </c>
      <c r="J174" s="34">
        <f ca="1">IFERROR(__xludf.DUMMYFUNCTION("IF(I173="""", """", RANK(I173, FILTER(I:I, I:I&lt;&gt;""""), 1))
"),79)</f>
        <v>79</v>
      </c>
    </row>
    <row r="175" spans="1:10" ht="22.5" customHeight="1">
      <c r="A175" s="8" t="s">
        <v>422</v>
      </c>
      <c r="B175" s="10" t="s">
        <v>423</v>
      </c>
      <c r="C175" s="17" t="s">
        <v>33</v>
      </c>
      <c r="D175" s="17" t="s">
        <v>29</v>
      </c>
      <c r="E175" s="18" t="s">
        <v>30</v>
      </c>
      <c r="F175" s="19">
        <v>39.205199999999998</v>
      </c>
      <c r="G175" s="19">
        <v>-106.8437</v>
      </c>
      <c r="H175" s="20"/>
      <c r="I175" s="27"/>
      <c r="J175" s="20" t="str">
        <f ca="1">IFERROR(__xludf.DUMMYFUNCTION("IF(I174="""", """", RANK(I174, FILTER(I:I, I:I&lt;&gt;""""), 1))
"),"")</f>
        <v/>
      </c>
    </row>
    <row r="176" spans="1:10" ht="22.5" customHeight="1">
      <c r="A176" s="15" t="s">
        <v>424</v>
      </c>
      <c r="B176" s="17" t="s">
        <v>425</v>
      </c>
      <c r="C176" s="10" t="s">
        <v>36</v>
      </c>
      <c r="D176" s="10" t="s">
        <v>13</v>
      </c>
      <c r="E176" s="11" t="s">
        <v>22</v>
      </c>
      <c r="F176" s="19">
        <v>39.653399999999998</v>
      </c>
      <c r="G176" s="19">
        <v>-104.8301</v>
      </c>
      <c r="H176" s="32" t="s">
        <v>48</v>
      </c>
      <c r="I176" s="33">
        <v>45848</v>
      </c>
      <c r="J176" s="34">
        <f ca="1">IFERROR(__xludf.DUMMYFUNCTION("IF(I175="""", """", RANK(I175, FILTER(I:I, I:I&lt;&gt;""""), 1))
"),104)</f>
        <v>104</v>
      </c>
    </row>
    <row r="177" spans="1:10" ht="22.5" customHeight="1">
      <c r="A177" s="8" t="s">
        <v>426</v>
      </c>
      <c r="B177" s="10" t="s">
        <v>427</v>
      </c>
      <c r="C177" s="17" t="s">
        <v>25</v>
      </c>
      <c r="D177" s="17" t="s">
        <v>13</v>
      </c>
      <c r="E177" s="18" t="s">
        <v>22</v>
      </c>
      <c r="F177" s="19">
        <v>39.588799999999999</v>
      </c>
      <c r="G177" s="19">
        <v>-105.1279</v>
      </c>
      <c r="H177" s="20"/>
      <c r="I177" s="27"/>
      <c r="J177" s="20" t="str">
        <f ca="1">IFERROR(__xludf.DUMMYFUNCTION("IF(I176="""", """", RANK(I176, FILTER(I:I, I:I&lt;&gt;""""), 1))
"),"")</f>
        <v/>
      </c>
    </row>
    <row r="178" spans="1:10" ht="22.5" customHeight="1">
      <c r="A178" s="15" t="s">
        <v>428</v>
      </c>
      <c r="B178" s="17" t="s">
        <v>429</v>
      </c>
      <c r="C178" s="10" t="s">
        <v>430</v>
      </c>
      <c r="D178" s="10" t="s">
        <v>13</v>
      </c>
      <c r="E178" s="11" t="s">
        <v>14</v>
      </c>
      <c r="F178" s="19">
        <v>40.034500000000001</v>
      </c>
      <c r="G178" s="19">
        <v>-107.9173</v>
      </c>
      <c r="H178" s="13"/>
      <c r="I178" s="14"/>
      <c r="J178" s="13" t="str">
        <f ca="1">IFERROR(__xludf.DUMMYFUNCTION("IF(I177="""", """", RANK(I177, FILTER(I:I, I:I&lt;&gt;""""), 1))
"),"")</f>
        <v/>
      </c>
    </row>
    <row r="179" spans="1:10" ht="22.5" customHeight="1">
      <c r="A179" s="8" t="s">
        <v>431</v>
      </c>
      <c r="B179" s="10" t="s">
        <v>432</v>
      </c>
      <c r="C179" s="17" t="s">
        <v>92</v>
      </c>
      <c r="D179" s="17" t="s">
        <v>29</v>
      </c>
      <c r="E179" s="18" t="s">
        <v>22</v>
      </c>
      <c r="F179" s="19">
        <v>39.5381</v>
      </c>
      <c r="G179" s="19">
        <v>-104.8554</v>
      </c>
      <c r="H179" s="28" t="s">
        <v>48</v>
      </c>
      <c r="I179" s="21">
        <v>44843</v>
      </c>
      <c r="J179" s="22">
        <f ca="1">IFERROR(__xludf.DUMMYFUNCTION("IF(I178="""", """", RANK(I178, FILTER(I:I, I:I&lt;&gt;""""), 1))
"),42)</f>
        <v>42</v>
      </c>
    </row>
    <row r="180" spans="1:10" ht="22.5" customHeight="1">
      <c r="A180" s="15" t="s">
        <v>433</v>
      </c>
      <c r="B180" s="17" t="s">
        <v>434</v>
      </c>
      <c r="C180" s="10" t="s">
        <v>435</v>
      </c>
      <c r="D180" s="10" t="s">
        <v>13</v>
      </c>
      <c r="E180" s="11" t="s">
        <v>30</v>
      </c>
      <c r="F180" s="19">
        <v>37.573599999999999</v>
      </c>
      <c r="G180" s="19">
        <v>-106.1528</v>
      </c>
      <c r="H180" s="36"/>
      <c r="I180" s="42"/>
      <c r="J180" s="48"/>
    </row>
    <row r="181" spans="1:10" ht="22.5" customHeight="1">
      <c r="A181" s="8" t="s">
        <v>436</v>
      </c>
      <c r="B181" s="10" t="s">
        <v>437</v>
      </c>
      <c r="C181" s="17" t="s">
        <v>438</v>
      </c>
      <c r="D181" s="17" t="s">
        <v>13</v>
      </c>
      <c r="E181" s="18" t="s">
        <v>40</v>
      </c>
      <c r="F181" s="19">
        <v>39.302799999999998</v>
      </c>
      <c r="G181" s="19">
        <v>-103.0581</v>
      </c>
      <c r="H181" s="49" t="s">
        <v>48</v>
      </c>
      <c r="I181" s="59">
        <v>45869</v>
      </c>
      <c r="J181" s="60">
        <v>108</v>
      </c>
    </row>
    <row r="182" spans="1:10" ht="22.5" customHeight="1">
      <c r="A182" s="15" t="s">
        <v>439</v>
      </c>
      <c r="B182" s="17" t="s">
        <v>440</v>
      </c>
      <c r="C182" s="10" t="s">
        <v>441</v>
      </c>
      <c r="D182" s="10" t="s">
        <v>13</v>
      </c>
      <c r="E182" s="11" t="s">
        <v>30</v>
      </c>
      <c r="F182" s="19">
        <v>39.244199999999999</v>
      </c>
      <c r="G182" s="19">
        <v>-106.3073</v>
      </c>
      <c r="H182" s="36"/>
      <c r="I182" s="42"/>
      <c r="J182" s="48" t="str">
        <f ca="1">IFERROR(__xludf.DUMMYFUNCTION("IF(I181="""", """", RANK(I181, FILTER(I:I, I:I&lt;&gt;""""), 1))
"),"")</f>
        <v/>
      </c>
    </row>
    <row r="183" spans="1:10" ht="22.5" customHeight="1">
      <c r="A183" s="8" t="s">
        <v>442</v>
      </c>
      <c r="B183" s="10" t="s">
        <v>443</v>
      </c>
      <c r="C183" s="17" t="s">
        <v>444</v>
      </c>
      <c r="D183" s="17" t="s">
        <v>13</v>
      </c>
      <c r="E183" s="18" t="s">
        <v>30</v>
      </c>
      <c r="F183" s="19">
        <v>40.794899999999998</v>
      </c>
      <c r="G183" s="19">
        <v>-105.60080000000001</v>
      </c>
      <c r="H183" s="52"/>
      <c r="I183" s="55"/>
      <c r="J183" s="56" t="str">
        <f ca="1">IFERROR(__xludf.DUMMYFUNCTION("IF(I182="""", """", RANK(I182, FILTER(I:I, I:I&lt;&gt;""""), 1))
"),"")</f>
        <v/>
      </c>
    </row>
    <row r="184" spans="1:10" ht="22.5" customHeight="1">
      <c r="A184" s="15" t="s">
        <v>445</v>
      </c>
      <c r="B184" s="17" t="s">
        <v>446</v>
      </c>
      <c r="C184" s="10" t="s">
        <v>135</v>
      </c>
      <c r="D184" s="10" t="s">
        <v>13</v>
      </c>
      <c r="E184" s="11" t="s">
        <v>40</v>
      </c>
      <c r="F184" s="19">
        <v>40.611899999999999</v>
      </c>
      <c r="G184" s="19">
        <v>-105.0437</v>
      </c>
      <c r="H184" s="57" t="s">
        <v>48</v>
      </c>
      <c r="I184" s="58">
        <v>45811</v>
      </c>
      <c r="J184" s="54">
        <v>99</v>
      </c>
    </row>
    <row r="185" spans="1:10" ht="22.5" customHeight="1">
      <c r="A185" s="8" t="s">
        <v>447</v>
      </c>
      <c r="B185" s="10" t="s">
        <v>448</v>
      </c>
      <c r="C185" s="17" t="s">
        <v>36</v>
      </c>
      <c r="D185" s="17" t="s">
        <v>13</v>
      </c>
      <c r="E185" s="18" t="s">
        <v>22</v>
      </c>
      <c r="F185" s="19">
        <v>39.688200000000002</v>
      </c>
      <c r="G185" s="19">
        <v>-104.7206</v>
      </c>
      <c r="H185" s="52"/>
      <c r="I185" s="50">
        <v>44862</v>
      </c>
      <c r="J185" s="51">
        <f ca="1">IFERROR(__xludf.DUMMYFUNCTION("IF(I184="""", """", RANK(I184, FILTER(I:I, I:I&lt;&gt;""""), 1))
"),44)</f>
        <v>44</v>
      </c>
    </row>
    <row r="186" spans="1:10" ht="22.5" customHeight="1">
      <c r="A186" s="15" t="s">
        <v>449</v>
      </c>
      <c r="B186" s="17" t="s">
        <v>450</v>
      </c>
      <c r="C186" s="10" t="s">
        <v>451</v>
      </c>
      <c r="D186" s="10" t="s">
        <v>13</v>
      </c>
      <c r="E186" s="11" t="s">
        <v>40</v>
      </c>
      <c r="F186" s="19">
        <v>40.635199999999998</v>
      </c>
      <c r="G186" s="19">
        <v>-103.1917</v>
      </c>
      <c r="H186" s="36"/>
      <c r="I186" s="42"/>
      <c r="J186" s="48" t="str">
        <f ca="1">IFERROR(__xludf.DUMMYFUNCTION("IF(I185="""", """", RANK(I185, FILTER(I:I, I:I&lt;&gt;""""), 1))
"),"")</f>
        <v/>
      </c>
    </row>
    <row r="187" spans="1:10" ht="22.5" customHeight="1">
      <c r="A187" s="8" t="s">
        <v>452</v>
      </c>
      <c r="B187" s="10" t="s">
        <v>453</v>
      </c>
      <c r="C187" s="17" t="s">
        <v>107</v>
      </c>
      <c r="D187" s="17" t="s">
        <v>13</v>
      </c>
      <c r="E187" s="41" t="s">
        <v>40</v>
      </c>
      <c r="F187" s="19">
        <v>40.420400000000001</v>
      </c>
      <c r="G187" s="19">
        <v>-105.1048</v>
      </c>
      <c r="H187" s="20"/>
      <c r="I187" s="27"/>
      <c r="J187" s="20" t="str">
        <f ca="1">IFERROR(__xludf.DUMMYFUNCTION("IF(I186="""", """", RANK(I186, FILTER(I:I, I:I&lt;&gt;""""), 1))
"),"")</f>
        <v/>
      </c>
    </row>
    <row r="188" spans="1:10" ht="22.5" customHeight="1">
      <c r="A188" s="15" t="s">
        <v>454</v>
      </c>
      <c r="B188" s="17" t="s">
        <v>455</v>
      </c>
      <c r="C188" s="47" t="s">
        <v>85</v>
      </c>
      <c r="D188" s="47" t="s">
        <v>13</v>
      </c>
      <c r="E188" s="44" t="s">
        <v>22</v>
      </c>
      <c r="F188" s="19">
        <v>39.932099999999998</v>
      </c>
      <c r="G188" s="19">
        <v>-105.134</v>
      </c>
      <c r="H188" s="36"/>
      <c r="I188" s="53">
        <v>45726</v>
      </c>
      <c r="J188" s="61">
        <f ca="1">IFERROR(__xludf.DUMMYFUNCTION("IF(I187="""", """", RANK(I187, FILTER(I:I, I:I&lt;&gt;""""), 1))
"),80)</f>
        <v>80</v>
      </c>
    </row>
    <row r="189" spans="1:10" ht="22.5" customHeight="1">
      <c r="A189" s="8" t="s">
        <v>456</v>
      </c>
      <c r="B189" s="10" t="s">
        <v>455</v>
      </c>
      <c r="C189" s="40" t="s">
        <v>85</v>
      </c>
      <c r="D189" s="40" t="s">
        <v>13</v>
      </c>
      <c r="E189" s="41" t="s">
        <v>22</v>
      </c>
      <c r="F189" s="19">
        <v>39.932099999999998</v>
      </c>
      <c r="G189" s="19">
        <v>-105.134</v>
      </c>
      <c r="H189" s="52"/>
      <c r="I189" s="55"/>
      <c r="J189" s="56" t="str">
        <f ca="1">IFERROR(__xludf.DUMMYFUNCTION("IF(I188="""", """", RANK(I188, FILTER(I:I, I:I&lt;&gt;""""), 1))
"),"")</f>
        <v/>
      </c>
    </row>
    <row r="190" spans="1:10" ht="22.5" customHeight="1">
      <c r="A190" s="15" t="s">
        <v>457</v>
      </c>
      <c r="B190" s="17" t="s">
        <v>455</v>
      </c>
      <c r="C190" s="47" t="s">
        <v>85</v>
      </c>
      <c r="D190" s="47" t="s">
        <v>13</v>
      </c>
      <c r="E190" s="44" t="s">
        <v>22</v>
      </c>
      <c r="F190" s="19">
        <v>39.932099999999998</v>
      </c>
      <c r="G190" s="19">
        <v>-105.134</v>
      </c>
      <c r="H190" s="36"/>
      <c r="I190" s="53">
        <v>45726</v>
      </c>
      <c r="J190" s="61">
        <v>81</v>
      </c>
    </row>
    <row r="191" spans="1:10" ht="22.5" customHeight="1">
      <c r="A191" s="8" t="s">
        <v>458</v>
      </c>
      <c r="B191" s="10" t="s">
        <v>459</v>
      </c>
      <c r="C191" s="40" t="s">
        <v>47</v>
      </c>
      <c r="D191" s="40" t="s">
        <v>13</v>
      </c>
      <c r="E191" s="41" t="s">
        <v>22</v>
      </c>
      <c r="F191" s="19">
        <v>39.685600000000001</v>
      </c>
      <c r="G191" s="19">
        <v>-104.9973</v>
      </c>
      <c r="H191" s="52"/>
      <c r="I191" s="50">
        <v>45153</v>
      </c>
      <c r="J191" s="51">
        <f ca="1">IFERROR(__xludf.DUMMYFUNCTION("IF(I190="""", """", RANK(I190, FILTER(I:I, I:I&lt;&gt;""""), 1))
"),55)</f>
        <v>55</v>
      </c>
    </row>
    <row r="192" spans="1:10" ht="22.5" customHeight="1">
      <c r="A192" s="15" t="s">
        <v>460</v>
      </c>
      <c r="B192" s="17" t="s">
        <v>461</v>
      </c>
      <c r="C192" s="47" t="s">
        <v>462</v>
      </c>
      <c r="D192" s="47" t="s">
        <v>381</v>
      </c>
      <c r="E192" s="44" t="s">
        <v>30</v>
      </c>
      <c r="F192" s="19">
        <v>37.2776</v>
      </c>
      <c r="G192" s="19">
        <v>-107.0168</v>
      </c>
      <c r="H192" s="36"/>
      <c r="I192" s="42"/>
      <c r="J192" s="48" t="str">
        <f ca="1">IFERROR(__xludf.DUMMYFUNCTION("IF(I191="""", """", RANK(I191, FILTER(I:I, I:I&lt;&gt;""""), 1))
"),"")</f>
        <v/>
      </c>
    </row>
    <row r="193" spans="1:10" ht="22.5" customHeight="1">
      <c r="A193" s="8" t="s">
        <v>463</v>
      </c>
      <c r="B193" s="10" t="s">
        <v>464</v>
      </c>
      <c r="C193" s="40" t="s">
        <v>88</v>
      </c>
      <c r="D193" s="40" t="s">
        <v>13</v>
      </c>
      <c r="E193" s="41" t="s">
        <v>18</v>
      </c>
      <c r="F193" s="19">
        <v>38.8795</v>
      </c>
      <c r="G193" s="19">
        <v>-104.8128</v>
      </c>
      <c r="H193" s="52"/>
      <c r="I193" s="50">
        <v>43709</v>
      </c>
      <c r="J193" s="51">
        <f ca="1">IFERROR(__xludf.DUMMYFUNCTION("IF(I192="""", """", RANK(I192, FILTER(I:I, I:I&lt;&gt;""""), 1))
"),14)</f>
        <v>14</v>
      </c>
    </row>
    <row r="194" spans="1:10" ht="22.5" customHeight="1">
      <c r="A194" s="15" t="s">
        <v>465</v>
      </c>
      <c r="B194" s="17" t="s">
        <v>464</v>
      </c>
      <c r="C194" s="47" t="s">
        <v>88</v>
      </c>
      <c r="D194" s="47" t="s">
        <v>13</v>
      </c>
      <c r="E194" s="44" t="s">
        <v>18</v>
      </c>
      <c r="F194" s="19">
        <v>38.8795</v>
      </c>
      <c r="G194" s="19">
        <v>-104.8128</v>
      </c>
      <c r="H194" s="36"/>
      <c r="I194" s="53">
        <v>43709</v>
      </c>
      <c r="J194" s="61">
        <v>15</v>
      </c>
    </row>
    <row r="195" spans="1:10" ht="22.5" customHeight="1">
      <c r="A195" s="8" t="s">
        <v>466</v>
      </c>
      <c r="B195" s="10" t="s">
        <v>464</v>
      </c>
      <c r="C195" s="40" t="s">
        <v>88</v>
      </c>
      <c r="D195" s="40" t="s">
        <v>13</v>
      </c>
      <c r="E195" s="41" t="s">
        <v>18</v>
      </c>
      <c r="F195" s="19">
        <v>38.8795</v>
      </c>
      <c r="G195" s="19">
        <v>-104.8128</v>
      </c>
      <c r="H195" s="52"/>
      <c r="I195" s="55"/>
      <c r="J195" s="56" t="str">
        <f ca="1">IFERROR(__xludf.DUMMYFUNCTION("IF(I194="""", """", RANK(I194, FILTER(I:I, I:I&lt;&gt;""""), 1))
"),"")</f>
        <v/>
      </c>
    </row>
    <row r="196" spans="1:10" ht="22.5" customHeight="1">
      <c r="A196" s="15" t="s">
        <v>467</v>
      </c>
      <c r="B196" s="17" t="s">
        <v>468</v>
      </c>
      <c r="C196" s="47" t="s">
        <v>334</v>
      </c>
      <c r="D196" s="47" t="s">
        <v>82</v>
      </c>
      <c r="E196" s="44" t="s">
        <v>40</v>
      </c>
      <c r="F196" s="19">
        <v>40.472099999999998</v>
      </c>
      <c r="G196" s="19">
        <v>-104.9152</v>
      </c>
      <c r="H196" s="36"/>
      <c r="I196" s="53">
        <v>45214</v>
      </c>
      <c r="J196" s="61">
        <f ca="1">IFERROR(__xludf.DUMMYFUNCTION("IF(I195="""", """", RANK(I195, FILTER(I:I, I:I&lt;&gt;""""), 1))
"),58)</f>
        <v>58</v>
      </c>
    </row>
    <row r="197" spans="1:10" ht="22.5" customHeight="1">
      <c r="A197" s="8" t="s">
        <v>469</v>
      </c>
      <c r="B197" s="10" t="s">
        <v>468</v>
      </c>
      <c r="C197" s="40" t="s">
        <v>334</v>
      </c>
      <c r="D197" s="40" t="s">
        <v>82</v>
      </c>
      <c r="E197" s="41" t="s">
        <v>40</v>
      </c>
      <c r="F197" s="19">
        <v>40.472099999999998</v>
      </c>
      <c r="G197" s="19">
        <v>-104.9152</v>
      </c>
      <c r="H197" s="52"/>
      <c r="I197" s="50">
        <v>45215</v>
      </c>
      <c r="J197" s="51">
        <f ca="1">IFERROR(__xludf.DUMMYFUNCTION("IF(I196="""", """", RANK(I196, FILTER(I:I, I:I&lt;&gt;""""), 1))
"),59)</f>
        <v>59</v>
      </c>
    </row>
    <row r="198" spans="1:10" ht="22.5" customHeight="1">
      <c r="A198" s="15" t="s">
        <v>470</v>
      </c>
      <c r="B198" s="17" t="s">
        <v>471</v>
      </c>
      <c r="C198" s="10" t="s">
        <v>51</v>
      </c>
      <c r="D198" s="10" t="s">
        <v>29</v>
      </c>
      <c r="E198" s="11" t="s">
        <v>22</v>
      </c>
      <c r="F198" s="19">
        <v>39.260399999999997</v>
      </c>
      <c r="G198" s="19">
        <v>-104.8476</v>
      </c>
      <c r="H198" s="13"/>
      <c r="I198" s="24">
        <v>44866</v>
      </c>
      <c r="J198" s="25">
        <f ca="1">IFERROR(__xludf.DUMMYFUNCTION("IF(I197="""", """", RANK(I197, FILTER(I:I, I:I&lt;&gt;""""), 1))
"),45)</f>
        <v>45</v>
      </c>
    </row>
    <row r="199" spans="1:10" ht="22.5" customHeight="1">
      <c r="A199" s="8" t="s">
        <v>472</v>
      </c>
      <c r="B199" s="10" t="s">
        <v>473</v>
      </c>
      <c r="C199" s="17" t="s">
        <v>474</v>
      </c>
      <c r="D199" s="17" t="s">
        <v>13</v>
      </c>
      <c r="E199" s="18" t="s">
        <v>40</v>
      </c>
      <c r="F199" s="19">
        <v>40.256300000000003</v>
      </c>
      <c r="G199" s="19">
        <v>-103.6178</v>
      </c>
      <c r="H199" s="20"/>
      <c r="I199" s="27"/>
      <c r="J199" s="20" t="str">
        <f ca="1">IFERROR(__xludf.DUMMYFUNCTION("IF(I198="""", """", RANK(I198, FILTER(I:I, I:I&lt;&gt;""""), 1))
"),"")</f>
        <v/>
      </c>
    </row>
    <row r="200" spans="1:10" ht="22.5" customHeight="1">
      <c r="A200" s="15" t="s">
        <v>475</v>
      </c>
      <c r="B200" s="17" t="s">
        <v>476</v>
      </c>
      <c r="C200" s="10" t="s">
        <v>477</v>
      </c>
      <c r="D200" s="10" t="s">
        <v>13</v>
      </c>
      <c r="E200" s="11" t="s">
        <v>40</v>
      </c>
      <c r="F200" s="19">
        <v>39.631799999999998</v>
      </c>
      <c r="G200" s="19">
        <v>-104.7906</v>
      </c>
      <c r="H200" s="13"/>
      <c r="I200" s="14"/>
      <c r="J200" s="13" t="str">
        <f ca="1">IFERROR(__xludf.DUMMYFUNCTION("IF(I199="""", """", RANK(I199, FILTER(I:I, I:I&lt;&gt;""""), 1))
"),"")</f>
        <v/>
      </c>
    </row>
    <row r="201" spans="1:10" ht="22.5" customHeight="1">
      <c r="A201" s="8" t="s">
        <v>478</v>
      </c>
      <c r="B201" s="10" t="s">
        <v>479</v>
      </c>
      <c r="C201" s="17" t="s">
        <v>88</v>
      </c>
      <c r="D201" s="17" t="s">
        <v>13</v>
      </c>
      <c r="E201" s="18" t="s">
        <v>18</v>
      </c>
      <c r="F201" s="19">
        <v>38.978299999999997</v>
      </c>
      <c r="G201" s="19">
        <v>-104.7542</v>
      </c>
      <c r="H201" s="20"/>
      <c r="I201" s="21">
        <v>43705</v>
      </c>
      <c r="J201" s="22">
        <f ca="1">IFERROR(__xludf.DUMMYFUNCTION("IF(I200="""", """", RANK(I200, FILTER(I:I, I:I&lt;&gt;""""), 1))
"),10)</f>
        <v>10</v>
      </c>
    </row>
    <row r="202" spans="1:10" ht="22.5" customHeight="1">
      <c r="A202" s="15" t="s">
        <v>480</v>
      </c>
      <c r="B202" s="17" t="s">
        <v>481</v>
      </c>
      <c r="C202" s="10" t="s">
        <v>47</v>
      </c>
      <c r="D202" s="10" t="s">
        <v>29</v>
      </c>
      <c r="E202" s="11" t="s">
        <v>22</v>
      </c>
      <c r="F202" s="80" t="s">
        <v>700</v>
      </c>
      <c r="G202" s="19">
        <v>-105.067701</v>
      </c>
      <c r="H202" s="13" t="s">
        <v>699</v>
      </c>
      <c r="I202" s="24">
        <v>45363</v>
      </c>
      <c r="J202" s="25">
        <f ca="1">IFERROR(__xludf.DUMMYFUNCTION("IF(I201="""", """", RANK(I201, FILTER(I:I, I:I&lt;&gt;""""), 1))
"),61)</f>
        <v>61</v>
      </c>
    </row>
    <row r="203" spans="1:10" ht="22.5" customHeight="1">
      <c r="A203" s="8" t="s">
        <v>482</v>
      </c>
      <c r="B203" s="10" t="s">
        <v>481</v>
      </c>
      <c r="C203" s="17" t="s">
        <v>47</v>
      </c>
      <c r="D203" s="17" t="s">
        <v>29</v>
      </c>
      <c r="E203" s="18" t="s">
        <v>22</v>
      </c>
      <c r="F203" s="35">
        <v>39.640124999999998</v>
      </c>
      <c r="G203" s="35">
        <v>-105.065248</v>
      </c>
      <c r="H203" s="28" t="s">
        <v>48</v>
      </c>
      <c r="I203" s="29">
        <v>45776</v>
      </c>
      <c r="J203" s="30">
        <f ca="1">IFERROR(__xludf.DUMMYFUNCTION("IF(I202="""", """", RANK(I202, FILTER(I:I, I:I&lt;&gt;""""), 1))
"),90)</f>
        <v>90</v>
      </c>
    </row>
    <row r="204" spans="1:10" ht="22.5" customHeight="1">
      <c r="A204" s="63" t="s">
        <v>483</v>
      </c>
      <c r="B204" s="17" t="s">
        <v>484</v>
      </c>
      <c r="C204" s="47" t="s">
        <v>138</v>
      </c>
      <c r="D204" s="47" t="s">
        <v>29</v>
      </c>
      <c r="E204" s="44" t="s">
        <v>22</v>
      </c>
      <c r="F204" s="19">
        <v>39.504600000000003</v>
      </c>
      <c r="G204" s="19">
        <v>-104.7423</v>
      </c>
      <c r="H204" s="57" t="s">
        <v>48</v>
      </c>
      <c r="I204" s="58">
        <v>45950</v>
      </c>
      <c r="J204" s="54">
        <f ca="1">IFERROR(__xludf.DUMMYFUNCTION("IF(I203="""", """", RANK(I203, FILTER(I:I, I:I&lt;&gt;""""), 1))
"),118)</f>
        <v>118</v>
      </c>
    </row>
    <row r="205" spans="1:10" ht="22.5" customHeight="1">
      <c r="A205" s="64" t="s">
        <v>485</v>
      </c>
      <c r="B205" s="17" t="s">
        <v>484</v>
      </c>
      <c r="C205" s="40" t="s">
        <v>138</v>
      </c>
      <c r="D205" s="40" t="s">
        <v>29</v>
      </c>
      <c r="E205" s="41" t="s">
        <v>22</v>
      </c>
      <c r="F205" s="19">
        <v>39.504600000000003</v>
      </c>
      <c r="G205" s="19">
        <v>-104.7423</v>
      </c>
      <c r="H205" s="49" t="s">
        <v>48</v>
      </c>
      <c r="I205" s="59">
        <v>45950</v>
      </c>
      <c r="J205" s="60">
        <v>120</v>
      </c>
    </row>
    <row r="206" spans="1:10" ht="22.5" customHeight="1">
      <c r="A206" s="63" t="s">
        <v>486</v>
      </c>
      <c r="B206" s="17" t="s">
        <v>484</v>
      </c>
      <c r="C206" s="47" t="s">
        <v>138</v>
      </c>
      <c r="D206" s="47" t="s">
        <v>29</v>
      </c>
      <c r="E206" s="44" t="s">
        <v>22</v>
      </c>
      <c r="F206" s="19">
        <v>39.504600000000003</v>
      </c>
      <c r="G206" s="19">
        <v>-104.7423</v>
      </c>
      <c r="H206" s="57" t="s">
        <v>48</v>
      </c>
      <c r="I206" s="58">
        <v>45950</v>
      </c>
      <c r="J206" s="54">
        <v>119</v>
      </c>
    </row>
    <row r="207" spans="1:10" ht="22.5" customHeight="1">
      <c r="A207" s="8" t="s">
        <v>487</v>
      </c>
      <c r="B207" s="10" t="s">
        <v>488</v>
      </c>
      <c r="C207" s="40" t="s">
        <v>489</v>
      </c>
      <c r="D207" s="40" t="s">
        <v>13</v>
      </c>
      <c r="E207" s="41" t="s">
        <v>40</v>
      </c>
      <c r="F207" s="19">
        <v>39.6462</v>
      </c>
      <c r="G207" s="19">
        <v>-102.5985</v>
      </c>
      <c r="H207" s="52"/>
      <c r="I207" s="55"/>
      <c r="J207" s="56" t="str">
        <f ca="1">IFERROR(__xludf.DUMMYFUNCTION("IF(I206="""", """", RANK(I206, FILTER(I:I, I:I&lt;&gt;""""), 1))
"),"")</f>
        <v/>
      </c>
    </row>
    <row r="208" spans="1:10" ht="22.5" customHeight="1">
      <c r="A208" s="15" t="s">
        <v>490</v>
      </c>
      <c r="B208" s="17" t="s">
        <v>491</v>
      </c>
      <c r="C208" s="47" t="s">
        <v>99</v>
      </c>
      <c r="D208" s="47" t="s">
        <v>13</v>
      </c>
      <c r="E208" s="44" t="s">
        <v>22</v>
      </c>
      <c r="F208" s="83">
        <v>39.352437000000002</v>
      </c>
      <c r="G208" s="19">
        <v>-104.857772</v>
      </c>
      <c r="H208" s="82" t="s">
        <v>701</v>
      </c>
      <c r="I208" s="53">
        <v>44759</v>
      </c>
      <c r="J208" s="61">
        <f ca="1">IFERROR(__xludf.DUMMYFUNCTION("IF(I207="""", """", RANK(I207, FILTER(I:I, I:I&lt;&gt;""""), 1))
"),37)</f>
        <v>37</v>
      </c>
    </row>
    <row r="209" spans="1:10" ht="22.5" customHeight="1">
      <c r="A209" s="8" t="s">
        <v>492</v>
      </c>
      <c r="B209" s="10" t="s">
        <v>493</v>
      </c>
      <c r="C209" s="40" t="s">
        <v>494</v>
      </c>
      <c r="D209" s="40" t="s">
        <v>13</v>
      </c>
      <c r="E209" s="41" t="s">
        <v>30</v>
      </c>
      <c r="F209" s="19">
        <v>39.994100000000003</v>
      </c>
      <c r="G209" s="19">
        <v>-105.8612</v>
      </c>
      <c r="H209" s="52"/>
      <c r="I209" s="55"/>
      <c r="J209" s="56" t="str">
        <f ca="1">IFERROR(__xludf.DUMMYFUNCTION("IF(I208="""", """", RANK(I208, FILTER(I:I, I:I&lt;&gt;""""), 1))
"),"")</f>
        <v/>
      </c>
    </row>
    <row r="210" spans="1:10" ht="22.5" customHeight="1">
      <c r="A210" s="15" t="s">
        <v>495</v>
      </c>
      <c r="B210" s="17" t="s">
        <v>493</v>
      </c>
      <c r="C210" s="47" t="s">
        <v>494</v>
      </c>
      <c r="D210" s="47" t="s">
        <v>13</v>
      </c>
      <c r="E210" s="44" t="s">
        <v>30</v>
      </c>
      <c r="F210" s="19">
        <v>39.994100000000003</v>
      </c>
      <c r="G210" s="19">
        <v>-105.8612</v>
      </c>
      <c r="H210" s="36"/>
      <c r="I210" s="42"/>
      <c r="J210" s="48" t="str">
        <f ca="1">IFERROR(__xludf.DUMMYFUNCTION("IF(I209="""", """", RANK(I209, FILTER(I:I, I:I&lt;&gt;""""), 1))
"),"")</f>
        <v/>
      </c>
    </row>
    <row r="211" spans="1:10" ht="22.5" customHeight="1">
      <c r="A211" s="8" t="s">
        <v>496</v>
      </c>
      <c r="B211" s="10" t="s">
        <v>493</v>
      </c>
      <c r="C211" s="40" t="s">
        <v>494</v>
      </c>
      <c r="D211" s="40" t="s">
        <v>13</v>
      </c>
      <c r="E211" s="41" t="s">
        <v>30</v>
      </c>
      <c r="F211" s="19">
        <v>39.994100000000003</v>
      </c>
      <c r="G211" s="19">
        <v>-105.8612</v>
      </c>
      <c r="H211" s="52"/>
      <c r="I211" s="55"/>
      <c r="J211" s="56" t="str">
        <f ca="1">IFERROR(__xludf.DUMMYFUNCTION("IF(I210="""", """", RANK(I210, FILTER(I:I, I:I&lt;&gt;""""), 1))
"),"")</f>
        <v/>
      </c>
    </row>
    <row r="212" spans="1:10" ht="22.5" customHeight="1">
      <c r="A212" s="15" t="s">
        <v>497</v>
      </c>
      <c r="B212" s="17" t="s">
        <v>498</v>
      </c>
      <c r="C212" s="47" t="s">
        <v>138</v>
      </c>
      <c r="D212" s="47" t="s">
        <v>29</v>
      </c>
      <c r="E212" s="44" t="s">
        <v>22</v>
      </c>
      <c r="F212" s="19">
        <v>39.470399999999998</v>
      </c>
      <c r="G212" s="19">
        <v>-104.7458</v>
      </c>
      <c r="H212" s="36"/>
      <c r="I212" s="42"/>
      <c r="J212" s="48" t="str">
        <f ca="1">IFERROR(__xludf.DUMMYFUNCTION("IF(I211="""", """", RANK(I211, FILTER(I:I, I:I&lt;&gt;""""), 1))
"),"")</f>
        <v/>
      </c>
    </row>
    <row r="213" spans="1:10" ht="22.5" customHeight="1">
      <c r="A213" s="8" t="s">
        <v>499</v>
      </c>
      <c r="B213" s="10" t="s">
        <v>500</v>
      </c>
      <c r="C213" s="40" t="s">
        <v>501</v>
      </c>
      <c r="D213" s="40" t="s">
        <v>13</v>
      </c>
      <c r="E213" s="41" t="s">
        <v>40</v>
      </c>
      <c r="F213" s="19">
        <v>39.305199999999999</v>
      </c>
      <c r="G213" s="19">
        <v>-102.2619</v>
      </c>
      <c r="H213" s="52"/>
      <c r="I213" s="55"/>
      <c r="J213" s="56" t="str">
        <f ca="1">IFERROR(__xludf.DUMMYFUNCTION("IF(I212="""", """", RANK(I212, FILTER(I:I, I:I&lt;&gt;""""), 1))
"),"")</f>
        <v/>
      </c>
    </row>
    <row r="214" spans="1:10" ht="22.5" customHeight="1">
      <c r="A214" s="15" t="s">
        <v>502</v>
      </c>
      <c r="B214" s="17" t="s">
        <v>503</v>
      </c>
      <c r="C214" s="47" t="s">
        <v>135</v>
      </c>
      <c r="D214" s="47" t="s">
        <v>29</v>
      </c>
      <c r="E214" s="44" t="s">
        <v>40</v>
      </c>
      <c r="F214" s="19">
        <v>40.509700000000002</v>
      </c>
      <c r="G214" s="19">
        <v>-104.9774</v>
      </c>
      <c r="H214" s="57" t="s">
        <v>48</v>
      </c>
      <c r="I214" s="58">
        <v>45894</v>
      </c>
      <c r="J214" s="54">
        <f ca="1">IFERROR(__xludf.DUMMYFUNCTION("IF(I213="""", """", RANK(I213, FILTER(I:I, I:I&lt;&gt;""""), 1))
"),112)</f>
        <v>112</v>
      </c>
    </row>
    <row r="215" spans="1:10" ht="22.5" customHeight="1">
      <c r="A215" s="8" t="s">
        <v>504</v>
      </c>
      <c r="B215" s="10" t="s">
        <v>505</v>
      </c>
      <c r="C215" s="40" t="s">
        <v>235</v>
      </c>
      <c r="D215" s="40" t="s">
        <v>29</v>
      </c>
      <c r="E215" s="41" t="s">
        <v>18</v>
      </c>
      <c r="F215" s="19">
        <v>38.308799999999998</v>
      </c>
      <c r="G215" s="19">
        <v>-104.6112</v>
      </c>
      <c r="H215" s="49" t="s">
        <v>48</v>
      </c>
      <c r="I215" s="59">
        <v>45904</v>
      </c>
      <c r="J215" s="60">
        <f ca="1">IFERROR(__xludf.DUMMYFUNCTION("IF(I214="""", """", RANK(I214, FILTER(I:I, I:I&lt;&gt;""""), 1))
"),115)</f>
        <v>115</v>
      </c>
    </row>
    <row r="216" spans="1:10" ht="22.5" customHeight="1">
      <c r="A216" s="15" t="s">
        <v>506</v>
      </c>
      <c r="B216" s="17" t="s">
        <v>507</v>
      </c>
      <c r="C216" s="10" t="s">
        <v>477</v>
      </c>
      <c r="D216" s="10" t="s">
        <v>13</v>
      </c>
      <c r="E216" s="11" t="s">
        <v>40</v>
      </c>
      <c r="F216" s="19">
        <v>40.250100000000003</v>
      </c>
      <c r="G216" s="19">
        <v>-103.8167</v>
      </c>
      <c r="H216" s="13"/>
      <c r="I216" s="24">
        <v>45608</v>
      </c>
      <c r="J216" s="25">
        <f ca="1">IFERROR(__xludf.DUMMYFUNCTION("IF(I215="""", """", RANK(I215, FILTER(I:I, I:I&lt;&gt;""""), 1))
"),74)</f>
        <v>74</v>
      </c>
    </row>
    <row r="217" spans="1:10" ht="22.5" customHeight="1">
      <c r="A217" s="8" t="s">
        <v>508</v>
      </c>
      <c r="B217" s="10" t="s">
        <v>509</v>
      </c>
      <c r="C217" s="17" t="s">
        <v>510</v>
      </c>
      <c r="D217" s="17" t="s">
        <v>13</v>
      </c>
      <c r="E217" s="18" t="s">
        <v>40</v>
      </c>
      <c r="F217" s="19">
        <v>39.720599999999997</v>
      </c>
      <c r="G217" s="19">
        <v>-104.2308</v>
      </c>
      <c r="H217" s="20"/>
      <c r="I217" s="27"/>
      <c r="J217" s="20" t="str">
        <f ca="1">IFERROR(__xludf.DUMMYFUNCTION("IF(I216="""", """", RANK(I216, FILTER(I:I, I:I&lt;&gt;""""), 1))
"),"")</f>
        <v/>
      </c>
    </row>
    <row r="218" spans="1:10" ht="22.5" customHeight="1">
      <c r="A218" s="15" t="s">
        <v>511</v>
      </c>
      <c r="B218" s="17" t="s">
        <v>512</v>
      </c>
      <c r="C218" s="10" t="s">
        <v>25</v>
      </c>
      <c r="D218" s="10" t="s">
        <v>13</v>
      </c>
      <c r="E218" s="11" t="s">
        <v>22</v>
      </c>
      <c r="F218" s="19">
        <v>39.607300000000002</v>
      </c>
      <c r="G218" s="19">
        <v>-105.08159999999999</v>
      </c>
      <c r="H218" s="13"/>
      <c r="I218" s="24">
        <v>44766</v>
      </c>
      <c r="J218" s="25">
        <f ca="1">IFERROR(__xludf.DUMMYFUNCTION("IF(I217="""", """", RANK(I217, FILTER(I:I, I:I&lt;&gt;""""), 1))
"),39)</f>
        <v>39</v>
      </c>
    </row>
    <row r="219" spans="1:10" ht="22.5" customHeight="1">
      <c r="A219" s="8" t="s">
        <v>513</v>
      </c>
      <c r="B219" s="10" t="s">
        <v>514</v>
      </c>
      <c r="C219" s="17" t="s">
        <v>334</v>
      </c>
      <c r="D219" s="17" t="s">
        <v>13</v>
      </c>
      <c r="E219" s="18" t="s">
        <v>40</v>
      </c>
      <c r="F219" s="19">
        <v>40.451000000000001</v>
      </c>
      <c r="G219" s="19">
        <v>-104.9038</v>
      </c>
      <c r="H219" s="28" t="s">
        <v>48</v>
      </c>
      <c r="I219" s="21">
        <v>45102</v>
      </c>
      <c r="J219" s="22">
        <f ca="1">IFERROR(__xludf.DUMMYFUNCTION("IF(I218="""", """", RANK(I218, FILTER(I:I, I:I&lt;&gt;""""), 1))
"),47)</f>
        <v>47</v>
      </c>
    </row>
    <row r="220" spans="1:10" ht="22.5" customHeight="1">
      <c r="A220" s="15" t="s">
        <v>515</v>
      </c>
      <c r="B220" s="17" t="s">
        <v>516</v>
      </c>
      <c r="C220" s="10" t="s">
        <v>28</v>
      </c>
      <c r="D220" s="10" t="s">
        <v>82</v>
      </c>
      <c r="E220" s="11" t="s">
        <v>30</v>
      </c>
      <c r="F220" s="19">
        <v>39.4039</v>
      </c>
      <c r="G220" s="19">
        <v>-107.1675</v>
      </c>
      <c r="H220" s="13"/>
      <c r="I220" s="14"/>
      <c r="J220" s="13" t="str">
        <f ca="1">IFERROR(__xludf.DUMMYFUNCTION("IF(I219="""", """", RANK(I219, FILTER(I:I, I:I&lt;&gt;""""), 1))
"),"")</f>
        <v/>
      </c>
    </row>
    <row r="221" spans="1:10" ht="22.5" customHeight="1">
      <c r="A221" s="8" t="s">
        <v>517</v>
      </c>
      <c r="B221" s="10" t="s">
        <v>518</v>
      </c>
      <c r="C221" s="17" t="s">
        <v>311</v>
      </c>
      <c r="D221" s="17" t="s">
        <v>29</v>
      </c>
      <c r="E221" s="18" t="s">
        <v>22</v>
      </c>
      <c r="F221" s="19">
        <v>39.910400000000003</v>
      </c>
      <c r="G221" s="19">
        <v>-105.0137</v>
      </c>
      <c r="H221" s="28" t="s">
        <v>48</v>
      </c>
      <c r="I221" s="21">
        <v>45460</v>
      </c>
      <c r="J221" s="22">
        <f ca="1">IFERROR(__xludf.DUMMYFUNCTION("IF(I220="""", """", RANK(I220, FILTER(I:I, I:I&lt;&gt;""""), 1))
"),69)</f>
        <v>69</v>
      </c>
    </row>
    <row r="222" spans="1:10" ht="22.5" customHeight="1">
      <c r="A222" s="15" t="s">
        <v>519</v>
      </c>
      <c r="B222" s="17" t="s">
        <v>520</v>
      </c>
      <c r="C222" s="10" t="s">
        <v>521</v>
      </c>
      <c r="D222" s="10" t="s">
        <v>13</v>
      </c>
      <c r="E222" s="11" t="s">
        <v>30</v>
      </c>
      <c r="F222" s="19">
        <v>39.637799999999999</v>
      </c>
      <c r="G222" s="19">
        <v>-106.0719</v>
      </c>
      <c r="H222" s="13"/>
      <c r="I222" s="14"/>
      <c r="J222" s="13" t="str">
        <f ca="1">IFERROR(__xludf.DUMMYFUNCTION("IF(I221="""", """", RANK(I221, FILTER(I:I, I:I&lt;&gt;""""), 1))
"),"")</f>
        <v/>
      </c>
    </row>
    <row r="223" spans="1:10" ht="22.5" customHeight="1">
      <c r="A223" s="8" t="s">
        <v>522</v>
      </c>
      <c r="B223" s="10" t="s">
        <v>523</v>
      </c>
      <c r="C223" s="17" t="s">
        <v>25</v>
      </c>
      <c r="D223" s="17" t="s">
        <v>29</v>
      </c>
      <c r="E223" s="18" t="s">
        <v>22</v>
      </c>
      <c r="F223" s="19">
        <v>39.447200000000002</v>
      </c>
      <c r="G223" s="19">
        <v>-105.07510000000001</v>
      </c>
      <c r="H223" s="28" t="s">
        <v>48</v>
      </c>
      <c r="I223" s="21">
        <v>45404</v>
      </c>
      <c r="J223" s="22">
        <f ca="1">IFERROR(__xludf.DUMMYFUNCTION("IF(I222="""", """", RANK(I222, FILTER(I:I, I:I&lt;&gt;""""), 1))
"),64)</f>
        <v>64</v>
      </c>
    </row>
    <row r="224" spans="1:10" ht="22.5" customHeight="1" thickBot="1">
      <c r="A224" s="15" t="s">
        <v>524</v>
      </c>
      <c r="B224" s="17" t="s">
        <v>525</v>
      </c>
      <c r="C224" s="10" t="s">
        <v>99</v>
      </c>
      <c r="D224" s="10" t="s">
        <v>13</v>
      </c>
      <c r="E224" s="11" t="s">
        <v>22</v>
      </c>
      <c r="F224" s="19">
        <v>39.388399999999997</v>
      </c>
      <c r="G224" s="19">
        <v>-104.88030000000001</v>
      </c>
      <c r="H224" s="13"/>
      <c r="I224" s="24">
        <v>44794</v>
      </c>
      <c r="J224" s="25">
        <f ca="1">IFERROR(__xludf.DUMMYFUNCTION("IF(I223="""", """", RANK(I223, FILTER(I:I, I:I&lt;&gt;""""), 1))
"),40)</f>
        <v>40</v>
      </c>
    </row>
    <row r="225" spans="1:10" ht="22.5" customHeight="1" thickBot="1">
      <c r="A225" s="91" t="s">
        <v>704</v>
      </c>
      <c r="B225" s="84" t="s">
        <v>706</v>
      </c>
      <c r="C225" s="85" t="s">
        <v>222</v>
      </c>
      <c r="D225" s="85" t="s">
        <v>381</v>
      </c>
      <c r="E225" s="11" t="s">
        <v>30</v>
      </c>
      <c r="F225" s="19">
        <v>39.685017000000002</v>
      </c>
      <c r="G225" s="19">
        <f>-106.689628</f>
        <v>-106.689628</v>
      </c>
      <c r="H225" s="86"/>
      <c r="I225" s="87"/>
      <c r="J225" s="88"/>
    </row>
    <row r="226" spans="1:10" ht="22.5" customHeight="1" thickBot="1">
      <c r="A226" s="92" t="s">
        <v>705</v>
      </c>
      <c r="B226" s="84" t="s">
        <v>706</v>
      </c>
      <c r="C226" s="85" t="s">
        <v>222</v>
      </c>
      <c r="D226" s="85" t="s">
        <v>381</v>
      </c>
      <c r="E226" s="11" t="s">
        <v>30</v>
      </c>
      <c r="F226" s="19">
        <v>39.687679000000003</v>
      </c>
      <c r="G226" s="80">
        <f>-106.688475</f>
        <v>-106.688475</v>
      </c>
      <c r="H226" s="86"/>
      <c r="I226" s="87"/>
      <c r="J226" s="88"/>
    </row>
    <row r="227" spans="1:10" ht="22.5" customHeight="1">
      <c r="A227" s="8" t="s">
        <v>526</v>
      </c>
      <c r="B227" s="10" t="s">
        <v>527</v>
      </c>
      <c r="C227" s="17" t="s">
        <v>528</v>
      </c>
      <c r="D227" s="17" t="s">
        <v>29</v>
      </c>
      <c r="E227" s="18" t="s">
        <v>22</v>
      </c>
      <c r="F227" s="19">
        <v>39.624899999999997</v>
      </c>
      <c r="G227" s="19">
        <v>-105.1824</v>
      </c>
      <c r="H227" s="20"/>
      <c r="I227" s="21">
        <v>45145</v>
      </c>
      <c r="J227" s="22">
        <f ca="1">IFERROR(__xludf.DUMMYFUNCTION("IF(I224="""", """", RANK(I224, FILTER(I:I, I:I&lt;&gt;""""), 1))
"),52)</f>
        <v>52</v>
      </c>
    </row>
    <row r="228" spans="1:10" ht="22.5" customHeight="1">
      <c r="A228" s="15" t="s">
        <v>529</v>
      </c>
      <c r="B228" s="17" t="s">
        <v>530</v>
      </c>
      <c r="C228" s="10" t="s">
        <v>66</v>
      </c>
      <c r="D228" s="10" t="s">
        <v>13</v>
      </c>
      <c r="E228" s="11" t="s">
        <v>14</v>
      </c>
      <c r="F228" s="19">
        <v>39.091900000000003</v>
      </c>
      <c r="G228" s="19">
        <v>-108.63120000000001</v>
      </c>
      <c r="H228" s="13"/>
      <c r="I228" s="14"/>
      <c r="J228" s="13" t="str">
        <f ca="1">IFERROR(__xludf.DUMMYFUNCTION("IF(I225="""", """", RANK(I225, FILTER(I:I, I:I&lt;&gt;""""), 1))
"),"")</f>
        <v/>
      </c>
    </row>
    <row r="229" spans="1:10" ht="22.5" customHeight="1">
      <c r="A229" s="8" t="s">
        <v>531</v>
      </c>
      <c r="B229" s="10" t="s">
        <v>532</v>
      </c>
      <c r="C229" s="17" t="s">
        <v>533</v>
      </c>
      <c r="D229" s="17" t="s">
        <v>13</v>
      </c>
      <c r="E229" s="18" t="s">
        <v>22</v>
      </c>
      <c r="F229" s="19">
        <v>39.457299999999996</v>
      </c>
      <c r="G229" s="19">
        <v>-104.9002</v>
      </c>
      <c r="H229" s="20"/>
      <c r="I229" s="21">
        <v>42942</v>
      </c>
      <c r="J229" s="22">
        <f ca="1">IFERROR(__xludf.DUMMYFUNCTION("IF(I226="""", """", RANK(I226, FILTER(I:I, I:I&lt;&gt;""""), 1))
"),2)</f>
        <v>2</v>
      </c>
    </row>
    <row r="230" spans="1:10" ht="22.5" customHeight="1">
      <c r="A230" s="15" t="s">
        <v>534</v>
      </c>
      <c r="B230" s="17" t="s">
        <v>278</v>
      </c>
      <c r="C230" s="10" t="s">
        <v>279</v>
      </c>
      <c r="D230" s="10" t="s">
        <v>13</v>
      </c>
      <c r="E230" s="11" t="s">
        <v>14</v>
      </c>
      <c r="F230" s="19">
        <v>39.541400000000003</v>
      </c>
      <c r="G230" s="19">
        <v>-107.7912</v>
      </c>
      <c r="H230" s="13"/>
      <c r="I230" s="14"/>
      <c r="J230" s="13" t="str">
        <f ca="1">IFERROR(__xludf.DUMMYFUNCTION("IF(I227="""", """", RANK(I227, FILTER(I:I, I:I&lt;&gt;""""), 1))
"),"")</f>
        <v/>
      </c>
    </row>
    <row r="231" spans="1:10" ht="22.5" customHeight="1">
      <c r="A231" s="8" t="s">
        <v>535</v>
      </c>
      <c r="B231" s="10" t="s">
        <v>536</v>
      </c>
      <c r="C231" s="17" t="s">
        <v>444</v>
      </c>
      <c r="D231" s="17" t="s">
        <v>29</v>
      </c>
      <c r="E231" s="18" t="s">
        <v>30</v>
      </c>
      <c r="F231" s="19">
        <v>37.656799999999997</v>
      </c>
      <c r="G231" s="19">
        <v>-106.6027</v>
      </c>
      <c r="H231" s="20"/>
      <c r="I231" s="27"/>
      <c r="J231" s="20" t="str">
        <f ca="1">IFERROR(__xludf.DUMMYFUNCTION("IF(I228="""", """", RANK(I228, FILTER(I:I, I:I&lt;&gt;""""), 1))
"),"")</f>
        <v/>
      </c>
    </row>
    <row r="232" spans="1:10" ht="22.5" customHeight="1">
      <c r="A232" s="15" t="s">
        <v>537</v>
      </c>
      <c r="B232" s="17" t="s">
        <v>538</v>
      </c>
      <c r="C232" s="10" t="s">
        <v>380</v>
      </c>
      <c r="D232" s="10" t="s">
        <v>381</v>
      </c>
      <c r="E232" s="11" t="s">
        <v>30</v>
      </c>
      <c r="F232" s="19">
        <v>39.5974</v>
      </c>
      <c r="G232" s="19">
        <v>-105.9498</v>
      </c>
      <c r="H232" s="13"/>
      <c r="I232" s="14"/>
      <c r="J232" s="13" t="str">
        <f ca="1">IFERROR(__xludf.DUMMYFUNCTION("IF(I229="""", """", RANK(I229, FILTER(I:I, I:I&lt;&gt;""""), 1))
"),"")</f>
        <v/>
      </c>
    </row>
    <row r="233" spans="1:10" ht="22.5" customHeight="1">
      <c r="A233" s="8" t="s">
        <v>539</v>
      </c>
      <c r="B233" s="10" t="s">
        <v>540</v>
      </c>
      <c r="C233" s="17" t="s">
        <v>28</v>
      </c>
      <c r="D233" s="17" t="s">
        <v>13</v>
      </c>
      <c r="E233" s="18" t="s">
        <v>30</v>
      </c>
      <c r="F233" s="19">
        <v>39.406500000000001</v>
      </c>
      <c r="G233" s="19">
        <v>-107.2022</v>
      </c>
      <c r="H233" s="20"/>
      <c r="I233" s="27"/>
      <c r="J233" s="20" t="str">
        <f ca="1">IFERROR(__xludf.DUMMYFUNCTION("IF(I230="""", """", RANK(I230, FILTER(I:I, I:I&lt;&gt;""""), 1))
"),"")</f>
        <v/>
      </c>
    </row>
    <row r="234" spans="1:10" ht="22.5" customHeight="1">
      <c r="A234" s="15" t="s">
        <v>541</v>
      </c>
      <c r="B234" s="17" t="s">
        <v>542</v>
      </c>
      <c r="C234" s="10" t="s">
        <v>543</v>
      </c>
      <c r="D234" s="10" t="s">
        <v>13</v>
      </c>
      <c r="E234" s="11" t="s">
        <v>22</v>
      </c>
      <c r="F234" s="19">
        <v>39.941800000000001</v>
      </c>
      <c r="G234" s="19">
        <v>-104.8614</v>
      </c>
      <c r="H234" s="32" t="s">
        <v>48</v>
      </c>
      <c r="I234" s="33">
        <v>45856</v>
      </c>
      <c r="J234" s="34">
        <f ca="1">IFERROR(__xludf.DUMMYFUNCTION("IF(I231="""", """", RANK(I231, FILTER(I:I, I:I&lt;&gt;""""), 1))
"),105)</f>
        <v>105</v>
      </c>
    </row>
    <row r="235" spans="1:10" ht="22.5" customHeight="1">
      <c r="A235" s="8" t="s">
        <v>544</v>
      </c>
      <c r="B235" s="10" t="s">
        <v>542</v>
      </c>
      <c r="C235" s="17" t="s">
        <v>543</v>
      </c>
      <c r="D235" s="17" t="s">
        <v>13</v>
      </c>
      <c r="E235" s="18" t="s">
        <v>22</v>
      </c>
      <c r="F235" s="19">
        <v>39.941800000000001</v>
      </c>
      <c r="G235" s="19">
        <v>-104.8614</v>
      </c>
      <c r="H235" s="20"/>
      <c r="I235" s="27"/>
      <c r="J235" s="20" t="str">
        <f ca="1">IFERROR(__xludf.DUMMYFUNCTION("IF(I232="""", """", RANK(I232, FILTER(I:I, I:I&lt;&gt;""""), 1))
"),"")</f>
        <v/>
      </c>
    </row>
    <row r="236" spans="1:10" ht="22.5" customHeight="1">
      <c r="A236" s="15" t="s">
        <v>545</v>
      </c>
      <c r="B236" s="17" t="s">
        <v>546</v>
      </c>
      <c r="C236" s="47" t="s">
        <v>451</v>
      </c>
      <c r="D236" s="47" t="s">
        <v>13</v>
      </c>
      <c r="E236" s="44" t="s">
        <v>40</v>
      </c>
      <c r="F236" s="19">
        <v>40.618899999999996</v>
      </c>
      <c r="G236" s="19">
        <v>-103.1634</v>
      </c>
      <c r="H236" s="13"/>
      <c r="I236" s="14"/>
      <c r="J236" s="13" t="str">
        <f ca="1">IFERROR(__xludf.DUMMYFUNCTION("IF(I233="""", """", RANK(I233, FILTER(I:I, I:I&lt;&gt;""""), 1))
"),"")</f>
        <v/>
      </c>
    </row>
    <row r="237" spans="1:10" ht="22.5" customHeight="1">
      <c r="A237" s="8" t="s">
        <v>547</v>
      </c>
      <c r="B237" s="10" t="s">
        <v>548</v>
      </c>
      <c r="C237" s="17" t="s">
        <v>549</v>
      </c>
      <c r="D237" s="17" t="s">
        <v>29</v>
      </c>
      <c r="E237" s="18" t="s">
        <v>30</v>
      </c>
      <c r="F237" s="19">
        <v>39.361199999999997</v>
      </c>
      <c r="G237" s="19">
        <v>-107.0457</v>
      </c>
      <c r="H237" s="20"/>
      <c r="I237" s="27"/>
      <c r="J237" s="20" t="str">
        <f ca="1">IFERROR(__xludf.DUMMYFUNCTION("IF(I234="""", """", RANK(I234, FILTER(I:I, I:I&lt;&gt;""""), 1))
"),"")</f>
        <v/>
      </c>
    </row>
    <row r="238" spans="1:10" ht="22.5" customHeight="1">
      <c r="A238" s="15" t="s">
        <v>550</v>
      </c>
      <c r="B238" s="17" t="s">
        <v>551</v>
      </c>
      <c r="C238" s="10" t="s">
        <v>552</v>
      </c>
      <c r="D238" s="10" t="s">
        <v>13</v>
      </c>
      <c r="E238" s="11" t="s">
        <v>18</v>
      </c>
      <c r="F238" s="19">
        <v>38.0441</v>
      </c>
      <c r="G238" s="19">
        <v>-103.7179</v>
      </c>
      <c r="H238" s="13"/>
      <c r="I238" s="14"/>
      <c r="J238" s="13" t="str">
        <f ca="1">IFERROR(__xludf.DUMMYFUNCTION("IF(I235="""", """", RANK(I235, FILTER(I:I, I:I&lt;&gt;""""), 1))
"),"")</f>
        <v/>
      </c>
    </row>
    <row r="239" spans="1:10" ht="22.5" customHeight="1">
      <c r="A239" s="15" t="s">
        <v>553</v>
      </c>
      <c r="B239" s="12" t="s">
        <v>554</v>
      </c>
      <c r="C239" s="17" t="s">
        <v>555</v>
      </c>
      <c r="D239" s="17" t="s">
        <v>381</v>
      </c>
      <c r="E239" s="18" t="s">
        <v>40</v>
      </c>
      <c r="F239" s="19">
        <v>40.084699999999998</v>
      </c>
      <c r="G239" s="19">
        <v>-104.3205</v>
      </c>
      <c r="H239" s="20"/>
      <c r="I239" s="27"/>
      <c r="J239" s="20" t="str">
        <f ca="1">IFERROR(__xludf.DUMMYFUNCTION("IF(I236="""", """", RANK(I236, FILTER(I:I, I:I&lt;&gt;""""), 1))
"),"")</f>
        <v/>
      </c>
    </row>
    <row r="240" spans="1:10" ht="22.5" customHeight="1">
      <c r="A240" s="8" t="s">
        <v>556</v>
      </c>
      <c r="B240" s="12" t="s">
        <v>554</v>
      </c>
      <c r="C240" s="10" t="s">
        <v>555</v>
      </c>
      <c r="D240" s="10" t="s">
        <v>381</v>
      </c>
      <c r="E240" s="11" t="s">
        <v>40</v>
      </c>
      <c r="F240" s="19">
        <v>40.084699999999998</v>
      </c>
      <c r="G240" s="19">
        <v>-104.3205</v>
      </c>
      <c r="H240" s="13"/>
      <c r="I240" s="14"/>
      <c r="J240" s="13" t="str">
        <f ca="1">IFERROR(__xludf.DUMMYFUNCTION("IF(I237="""", """", RANK(I237, FILTER(I:I, I:I&lt;&gt;""""), 1))
"),"")</f>
        <v/>
      </c>
    </row>
    <row r="241" spans="1:10" ht="22.5" customHeight="1">
      <c r="A241" s="8" t="s">
        <v>557</v>
      </c>
      <c r="B241" s="10" t="s">
        <v>558</v>
      </c>
      <c r="C241" s="17" t="s">
        <v>21</v>
      </c>
      <c r="D241" s="17" t="s">
        <v>29</v>
      </c>
      <c r="E241" s="18" t="s">
        <v>22</v>
      </c>
      <c r="F241" s="19">
        <v>39.754899999999999</v>
      </c>
      <c r="G241" s="19">
        <v>-105.17740000000001</v>
      </c>
      <c r="H241" s="28" t="s">
        <v>48</v>
      </c>
      <c r="I241" s="29">
        <v>45819</v>
      </c>
      <c r="J241" s="30">
        <f ca="1">IFERROR(__xludf.DUMMYFUNCTION("IF(I238="""", """", RANK(I238, FILTER(I:I, I:I&lt;&gt;""""), 1))
"),102)</f>
        <v>102</v>
      </c>
    </row>
    <row r="242" spans="1:10" ht="22.5" customHeight="1">
      <c r="A242" s="38" t="s">
        <v>695</v>
      </c>
      <c r="B242" s="12" t="s">
        <v>696</v>
      </c>
      <c r="C242" s="35" t="s">
        <v>697</v>
      </c>
      <c r="D242" s="35" t="s">
        <v>29</v>
      </c>
      <c r="E242" s="11" t="s">
        <v>30</v>
      </c>
      <c r="F242" s="81">
        <v>39.89846</v>
      </c>
      <c r="G242" s="19">
        <v>-106.712484</v>
      </c>
      <c r="H242" s="77"/>
      <c r="I242" s="78"/>
      <c r="J242" s="79"/>
    </row>
    <row r="243" spans="1:10" ht="22.5" customHeight="1">
      <c r="A243" s="15" t="s">
        <v>559</v>
      </c>
      <c r="B243" s="17" t="s">
        <v>560</v>
      </c>
      <c r="C243" s="10" t="s">
        <v>104</v>
      </c>
      <c r="D243" s="10" t="s">
        <v>381</v>
      </c>
      <c r="E243" s="11" t="s">
        <v>30</v>
      </c>
      <c r="F243" s="19">
        <v>40.460599999999999</v>
      </c>
      <c r="G243" s="19">
        <v>-106.8043</v>
      </c>
      <c r="H243" s="13"/>
      <c r="I243" s="14"/>
      <c r="J243" s="13" t="str">
        <f ca="1">IFERROR(__xludf.DUMMYFUNCTION("IF(I239="""", """", RANK(I239, FILTER(I:I, I:I&lt;&gt;""""), 1))
"),"")</f>
        <v/>
      </c>
    </row>
    <row r="244" spans="1:10" ht="22.5" customHeight="1">
      <c r="A244" s="8" t="s">
        <v>561</v>
      </c>
      <c r="B244" s="10" t="s">
        <v>562</v>
      </c>
      <c r="C244" s="17" t="s">
        <v>36</v>
      </c>
      <c r="D244" s="17" t="s">
        <v>13</v>
      </c>
      <c r="E244" s="18" t="s">
        <v>22</v>
      </c>
      <c r="F244" s="19">
        <v>39.593699999999998</v>
      </c>
      <c r="G244" s="19">
        <v>-104.7342</v>
      </c>
      <c r="H244" s="28" t="s">
        <v>48</v>
      </c>
      <c r="I244" s="21">
        <v>45432</v>
      </c>
      <c r="J244" s="22">
        <f ca="1">IFERROR(__xludf.DUMMYFUNCTION("IF(I240="""", """", RANK(I240, FILTER(I:I, I:I&lt;&gt;""""), 1))
"),67)</f>
        <v>67</v>
      </c>
    </row>
    <row r="245" spans="1:10" ht="22.5" customHeight="1">
      <c r="A245" s="15" t="s">
        <v>563</v>
      </c>
      <c r="B245" s="17" t="s">
        <v>564</v>
      </c>
      <c r="C245" s="10" t="s">
        <v>565</v>
      </c>
      <c r="D245" s="10" t="s">
        <v>13</v>
      </c>
      <c r="E245" s="11" t="s">
        <v>40</v>
      </c>
      <c r="F245" s="19">
        <v>40.124329000000003</v>
      </c>
      <c r="G245" s="19">
        <v>-104.932068</v>
      </c>
      <c r="H245" s="75" t="s">
        <v>694</v>
      </c>
      <c r="I245" s="21">
        <v>46091</v>
      </c>
      <c r="J245" s="13">
        <v>125</v>
      </c>
    </row>
    <row r="246" spans="1:10" ht="22.5" customHeight="1">
      <c r="A246" s="15" t="s">
        <v>566</v>
      </c>
      <c r="B246" s="17" t="s">
        <v>567</v>
      </c>
      <c r="C246" s="17" t="s">
        <v>568</v>
      </c>
      <c r="D246" s="17" t="s">
        <v>13</v>
      </c>
      <c r="E246" s="18" t="s">
        <v>30</v>
      </c>
      <c r="F246" s="19">
        <v>38.534199999999998</v>
      </c>
      <c r="G246" s="19">
        <v>-105.9987</v>
      </c>
      <c r="H246" s="20"/>
      <c r="I246" s="27"/>
      <c r="J246" s="20" t="str">
        <f ca="1">IFERROR(__xludf.DUMMYFUNCTION("IF(I242="""", """", RANK(I242, FILTER(I:I, I:I&lt;&gt;""""), 1))
"),"")</f>
        <v/>
      </c>
    </row>
    <row r="247" spans="1:10" ht="22.5" customHeight="1">
      <c r="A247" s="8" t="s">
        <v>569</v>
      </c>
      <c r="B247" s="10" t="s">
        <v>570</v>
      </c>
      <c r="C247" s="10" t="s">
        <v>571</v>
      </c>
      <c r="D247" s="10" t="s">
        <v>29</v>
      </c>
      <c r="E247" s="11" t="s">
        <v>22</v>
      </c>
      <c r="F247" s="19">
        <v>39.469299999999997</v>
      </c>
      <c r="G247" s="19">
        <v>-104.93810000000001</v>
      </c>
      <c r="H247" s="13"/>
      <c r="I247" s="24">
        <v>43667</v>
      </c>
      <c r="J247" s="25">
        <f ca="1">IFERROR(__xludf.DUMMYFUNCTION("IF(I243="""", """", RANK(I243, FILTER(I:I, I:I&lt;&gt;""""), 1))
"),7)</f>
        <v>7</v>
      </c>
    </row>
    <row r="248" spans="1:10" ht="22.5" customHeight="1">
      <c r="A248" s="15" t="s">
        <v>572</v>
      </c>
      <c r="B248" s="17" t="s">
        <v>573</v>
      </c>
      <c r="C248" s="17" t="s">
        <v>88</v>
      </c>
      <c r="D248" s="17" t="s">
        <v>13</v>
      </c>
      <c r="E248" s="18" t="s">
        <v>18</v>
      </c>
      <c r="F248" s="19">
        <v>38.852400000000003</v>
      </c>
      <c r="G248" s="19">
        <v>-104.7056</v>
      </c>
      <c r="H248" s="20"/>
      <c r="I248" s="21">
        <v>43309</v>
      </c>
      <c r="J248" s="22">
        <f ca="1">IFERROR(__xludf.DUMMYFUNCTION("IF(I244="""", """", RANK(I244, FILTER(I:I, I:I&lt;&gt;""""), 1))
"),3)</f>
        <v>3</v>
      </c>
    </row>
    <row r="249" spans="1:10" ht="22.5" customHeight="1">
      <c r="A249" s="8" t="s">
        <v>574</v>
      </c>
      <c r="B249" s="10" t="s">
        <v>575</v>
      </c>
      <c r="C249" s="10" t="s">
        <v>576</v>
      </c>
      <c r="D249" s="10" t="s">
        <v>13</v>
      </c>
      <c r="E249" s="11" t="s">
        <v>40</v>
      </c>
      <c r="F249" s="19">
        <v>40.988199999999999</v>
      </c>
      <c r="G249" s="19">
        <v>-102.2645</v>
      </c>
      <c r="H249" s="13"/>
      <c r="I249" s="14"/>
      <c r="J249" s="13" t="str">
        <f ca="1">IFERROR(__xludf.DUMMYFUNCTION("IF(I245="""", """", RANK(I245, FILTER(I:I, I:I&lt;&gt;""""), 1))
"),"")</f>
        <v/>
      </c>
    </row>
    <row r="250" spans="1:10" ht="22.5" customHeight="1">
      <c r="A250" s="15" t="s">
        <v>577</v>
      </c>
      <c r="B250" s="17" t="s">
        <v>578</v>
      </c>
      <c r="C250" s="17" t="s">
        <v>579</v>
      </c>
      <c r="D250" s="17" t="s">
        <v>13</v>
      </c>
      <c r="E250" s="18" t="s">
        <v>30</v>
      </c>
      <c r="F250" s="19">
        <v>38.979799999999997</v>
      </c>
      <c r="G250" s="19">
        <v>-105.0415</v>
      </c>
      <c r="H250" s="20"/>
      <c r="I250" s="21">
        <v>44065</v>
      </c>
      <c r="J250" s="22">
        <f ca="1">IFERROR(__xludf.DUMMYFUNCTION("IF(I246="""", """", RANK(I246, FILTER(I:I, I:I&lt;&gt;""""), 1))
"),19)</f>
        <v>19</v>
      </c>
    </row>
    <row r="251" spans="1:10" ht="22.5" customHeight="1">
      <c r="A251" s="8" t="s">
        <v>580</v>
      </c>
      <c r="B251" s="10" t="s">
        <v>581</v>
      </c>
      <c r="C251" s="10" t="s">
        <v>582</v>
      </c>
      <c r="D251" s="10" t="s">
        <v>690</v>
      </c>
      <c r="E251" s="11" t="s">
        <v>18</v>
      </c>
      <c r="F251" s="19">
        <v>38.753500000000003</v>
      </c>
      <c r="G251" s="19">
        <v>-104.756</v>
      </c>
      <c r="H251" s="94" t="s">
        <v>712</v>
      </c>
      <c r="I251" s="24">
        <v>42562</v>
      </c>
      <c r="J251" s="25">
        <f ca="1">IFERROR(__xludf.DUMMYFUNCTION("IF(I247="""", """", RANK(I247, FILTER(I:I, I:I&lt;&gt;""""), 1))
"),1)</f>
        <v>1</v>
      </c>
    </row>
    <row r="252" spans="1:10" ht="22.5" customHeight="1">
      <c r="A252" s="15" t="s">
        <v>583</v>
      </c>
      <c r="B252" s="17" t="s">
        <v>450</v>
      </c>
      <c r="C252" s="17" t="s">
        <v>451</v>
      </c>
      <c r="D252" s="17" t="s">
        <v>13</v>
      </c>
      <c r="E252" s="18" t="s">
        <v>40</v>
      </c>
      <c r="F252" s="19">
        <v>40.635199999999998</v>
      </c>
      <c r="G252" s="19">
        <v>-103.1917</v>
      </c>
      <c r="H252" s="20"/>
      <c r="I252" s="27"/>
      <c r="J252" s="20" t="str">
        <f ca="1">IFERROR(__xludf.DUMMYFUNCTION("IF(I248="""", """", RANK(I248, FILTER(I:I, I:I&lt;&gt;""""), 1))
"),"")</f>
        <v/>
      </c>
    </row>
    <row r="253" spans="1:10" ht="22.5" customHeight="1">
      <c r="A253" s="8" t="s">
        <v>584</v>
      </c>
      <c r="B253" s="10" t="s">
        <v>585</v>
      </c>
      <c r="C253" s="10" t="s">
        <v>586</v>
      </c>
      <c r="D253" s="10" t="s">
        <v>13</v>
      </c>
      <c r="E253" s="11" t="s">
        <v>18</v>
      </c>
      <c r="F253" s="19">
        <v>38.823700000000002</v>
      </c>
      <c r="G253" s="19">
        <v>-102.3509</v>
      </c>
      <c r="H253" s="13"/>
      <c r="I253" s="14"/>
      <c r="J253" s="13" t="str">
        <f ca="1">IFERROR(__xludf.DUMMYFUNCTION("IF(I249="""", """", RANK(I249, FILTER(I:I, I:I&lt;&gt;""""), 1))
"),"")</f>
        <v/>
      </c>
    </row>
    <row r="254" spans="1:10" ht="22.5" customHeight="1">
      <c r="A254" s="15" t="s">
        <v>587</v>
      </c>
      <c r="B254" s="17" t="s">
        <v>588</v>
      </c>
      <c r="C254" s="17" t="s">
        <v>589</v>
      </c>
      <c r="D254" s="17" t="s">
        <v>82</v>
      </c>
      <c r="E254" s="18" t="s">
        <v>30</v>
      </c>
      <c r="F254" s="19">
        <v>39.216900000000003</v>
      </c>
      <c r="G254" s="19">
        <v>-106.94759999999999</v>
      </c>
      <c r="H254" s="20"/>
      <c r="I254" s="27"/>
      <c r="J254" s="20" t="str">
        <f ca="1">IFERROR(__xludf.DUMMYFUNCTION("IF(I250="""", """", RANK(I250, FILTER(I:I, I:I&lt;&gt;""""), 1))
"),"")</f>
        <v/>
      </c>
    </row>
    <row r="255" spans="1:10" ht="22.5" customHeight="1">
      <c r="A255" s="8" t="s">
        <v>590</v>
      </c>
      <c r="B255" s="10" t="s">
        <v>591</v>
      </c>
      <c r="C255" s="10" t="s">
        <v>173</v>
      </c>
      <c r="D255" s="10" t="s">
        <v>29</v>
      </c>
      <c r="E255" s="11" t="s">
        <v>30</v>
      </c>
      <c r="F255" s="19">
        <v>39.628399999999999</v>
      </c>
      <c r="G255" s="19">
        <v>-106.60290000000001</v>
      </c>
      <c r="H255" s="13"/>
      <c r="I255" s="14"/>
      <c r="J255" s="13" t="str">
        <f ca="1">IFERROR(__xludf.DUMMYFUNCTION("IF(I251="""", """", RANK(I251, FILTER(I:I, I:I&lt;&gt;""""), 1))
"),"")</f>
        <v/>
      </c>
    </row>
    <row r="256" spans="1:10" ht="22.5" customHeight="1">
      <c r="A256" s="15" t="s">
        <v>592</v>
      </c>
      <c r="B256" s="17" t="s">
        <v>593</v>
      </c>
      <c r="C256" s="17" t="s">
        <v>167</v>
      </c>
      <c r="D256" s="17" t="s">
        <v>13</v>
      </c>
      <c r="E256" s="18" t="s">
        <v>14</v>
      </c>
      <c r="F256" s="19">
        <v>37.338700000000003</v>
      </c>
      <c r="G256" s="19">
        <v>-108.6332</v>
      </c>
      <c r="H256" s="20"/>
      <c r="I256" s="27"/>
      <c r="J256" s="20" t="str">
        <f ca="1">IFERROR(__xludf.DUMMYFUNCTION("IF(I252="""", """", RANK(I252, FILTER(I:I, I:I&lt;&gt;""""), 1))
"),"")</f>
        <v/>
      </c>
    </row>
    <row r="257" spans="1:10" ht="22.5" customHeight="1">
      <c r="A257" s="8" t="s">
        <v>594</v>
      </c>
      <c r="B257" s="10" t="s">
        <v>595</v>
      </c>
      <c r="C257" s="10" t="s">
        <v>596</v>
      </c>
      <c r="D257" s="10" t="s">
        <v>13</v>
      </c>
      <c r="E257" s="11" t="s">
        <v>22</v>
      </c>
      <c r="F257" s="19">
        <v>39.591299999999997</v>
      </c>
      <c r="G257" s="19">
        <v>-104.8475</v>
      </c>
      <c r="H257" s="32" t="s">
        <v>48</v>
      </c>
      <c r="I257" s="33">
        <v>45796</v>
      </c>
      <c r="J257" s="34">
        <f ca="1">IFERROR(__xludf.DUMMYFUNCTION("IF(I253="""", """", RANK(I253, FILTER(I:I, I:I&lt;&gt;""""), 1))
"),94)</f>
        <v>94</v>
      </c>
    </row>
    <row r="258" spans="1:10" ht="22.5" customHeight="1">
      <c r="A258" s="15" t="s">
        <v>597</v>
      </c>
      <c r="B258" s="17" t="s">
        <v>598</v>
      </c>
      <c r="C258" s="17" t="s">
        <v>599</v>
      </c>
      <c r="D258" s="17" t="s">
        <v>13</v>
      </c>
      <c r="E258" s="18" t="s">
        <v>22</v>
      </c>
      <c r="F258" s="19">
        <v>39.574018000000002</v>
      </c>
      <c r="G258" s="19">
        <v>-104.939592</v>
      </c>
      <c r="H258" s="76" t="s">
        <v>711</v>
      </c>
      <c r="I258" s="27">
        <v>46145</v>
      </c>
      <c r="J258" s="20">
        <v>128</v>
      </c>
    </row>
    <row r="259" spans="1:10" ht="22.5" customHeight="1">
      <c r="A259" s="8" t="s">
        <v>600</v>
      </c>
      <c r="B259" s="17" t="s">
        <v>598</v>
      </c>
      <c r="C259" s="10" t="s">
        <v>599</v>
      </c>
      <c r="D259" s="10" t="s">
        <v>13</v>
      </c>
      <c r="E259" s="11" t="s">
        <v>22</v>
      </c>
      <c r="F259" s="19">
        <v>39.571800000000003</v>
      </c>
      <c r="G259" s="19">
        <v>-104.94029999999999</v>
      </c>
      <c r="H259" s="32" t="s">
        <v>48</v>
      </c>
      <c r="I259" s="33">
        <v>45943</v>
      </c>
      <c r="J259" s="34">
        <f ca="1">IFERROR(__xludf.DUMMYFUNCTION("IF(I255="""", """", RANK(I255, FILTER(I:I, I:I&lt;&gt;""""), 1))
"),116)</f>
        <v>116</v>
      </c>
    </row>
    <row r="260" spans="1:10" ht="22.5" customHeight="1">
      <c r="A260" s="8" t="s">
        <v>601</v>
      </c>
      <c r="B260" s="10" t="s">
        <v>602</v>
      </c>
      <c r="C260" s="40" t="s">
        <v>599</v>
      </c>
      <c r="D260" s="40" t="s">
        <v>29</v>
      </c>
      <c r="E260" s="41" t="s">
        <v>22</v>
      </c>
      <c r="F260" s="19">
        <v>39.5854</v>
      </c>
      <c r="G260" s="19">
        <v>-104.9693</v>
      </c>
      <c r="H260" s="49" t="s">
        <v>48</v>
      </c>
      <c r="I260" s="59">
        <v>45771</v>
      </c>
      <c r="J260" s="60">
        <f ca="1">IFERROR(__xludf.DUMMYFUNCTION("IF(I256="""", """", RANK(I256, FILTER(I:I, I:I&lt;&gt;""""), 1))
"),88)</f>
        <v>88</v>
      </c>
    </row>
    <row r="261" spans="1:10" ht="22.5" customHeight="1">
      <c r="A261" s="15" t="s">
        <v>603</v>
      </c>
      <c r="B261" s="17" t="s">
        <v>604</v>
      </c>
      <c r="C261" s="47" t="s">
        <v>135</v>
      </c>
      <c r="D261" s="47" t="s">
        <v>13</v>
      </c>
      <c r="E261" s="44" t="s">
        <v>40</v>
      </c>
      <c r="F261" s="19">
        <v>40.5062</v>
      </c>
      <c r="G261" s="19">
        <v>-105.0587</v>
      </c>
      <c r="H261" s="36"/>
      <c r="I261" s="42"/>
      <c r="J261" s="48" t="str">
        <f ca="1">IFERROR(__xludf.DUMMYFUNCTION("IF(I257="""", """", RANK(I257, FILTER(I:I, I:I&lt;&gt;""""), 1))
"),"")</f>
        <v/>
      </c>
    </row>
    <row r="262" spans="1:10" ht="22.5" customHeight="1">
      <c r="A262" s="8" t="s">
        <v>605</v>
      </c>
      <c r="B262" s="10" t="s">
        <v>606</v>
      </c>
      <c r="C262" s="40" t="s">
        <v>607</v>
      </c>
      <c r="D262" s="40" t="s">
        <v>13</v>
      </c>
      <c r="E262" s="41" t="s">
        <v>18</v>
      </c>
      <c r="F262" s="19">
        <v>38.082500000000003</v>
      </c>
      <c r="G262" s="19">
        <v>-102.61539999999999</v>
      </c>
      <c r="H262" s="52"/>
      <c r="I262" s="55"/>
      <c r="J262" s="56" t="str">
        <f ca="1">IFERROR(__xludf.DUMMYFUNCTION("IF(I258="""", """", RANK(I258, FILTER(I:I, I:I&lt;&gt;""""), 1))
"),"")</f>
        <v/>
      </c>
    </row>
    <row r="263" spans="1:10" ht="22.5" customHeight="1">
      <c r="A263" s="15" t="s">
        <v>608</v>
      </c>
      <c r="B263" s="17" t="s">
        <v>609</v>
      </c>
      <c r="C263" s="47" t="s">
        <v>610</v>
      </c>
      <c r="D263" s="47" t="s">
        <v>13</v>
      </c>
      <c r="E263" s="44" t="s">
        <v>18</v>
      </c>
      <c r="F263" s="19">
        <v>39.368099999999998</v>
      </c>
      <c r="G263" s="19">
        <v>-104.6148</v>
      </c>
      <c r="H263" s="57" t="s">
        <v>48</v>
      </c>
      <c r="I263" s="58">
        <v>45815</v>
      </c>
      <c r="J263" s="54">
        <f ca="1">IFERROR(__xludf.DUMMYFUNCTION("IF(I259="""", """", RANK(I259, FILTER(I:I, I:I&lt;&gt;""""), 1))
"),100)</f>
        <v>100</v>
      </c>
    </row>
    <row r="264" spans="1:10" ht="22.5" customHeight="1">
      <c r="A264" s="8" t="s">
        <v>611</v>
      </c>
      <c r="B264" s="10" t="s">
        <v>612</v>
      </c>
      <c r="C264" s="40" t="s">
        <v>613</v>
      </c>
      <c r="D264" s="40" t="s">
        <v>13</v>
      </c>
      <c r="E264" s="41" t="s">
        <v>18</v>
      </c>
      <c r="F264" s="19">
        <v>37.408700000000003</v>
      </c>
      <c r="G264" s="19">
        <v>-102.61579999999999</v>
      </c>
      <c r="H264" s="52"/>
      <c r="I264" s="55"/>
      <c r="J264" s="56" t="str">
        <f ca="1">IFERROR(__xludf.DUMMYFUNCTION("IF(I260="""", """", RANK(I260, FILTER(I:I, I:I&lt;&gt;""""), 1))
"),"")</f>
        <v/>
      </c>
    </row>
    <row r="265" spans="1:10" ht="22.5" customHeight="1">
      <c r="A265" s="15" t="s">
        <v>614</v>
      </c>
      <c r="B265" s="17" t="s">
        <v>615</v>
      </c>
      <c r="C265" s="47" t="s">
        <v>36</v>
      </c>
      <c r="D265" s="47" t="s">
        <v>13</v>
      </c>
      <c r="E265" s="44" t="s">
        <v>22</v>
      </c>
      <c r="F265" s="19">
        <v>39.728200000000001</v>
      </c>
      <c r="G265" s="19">
        <v>-104.81610000000001</v>
      </c>
      <c r="H265" s="36"/>
      <c r="I265" s="42"/>
      <c r="J265" s="48" t="str">
        <f ca="1">IFERROR(__xludf.DUMMYFUNCTION("IF(I261="""", """", RANK(I261, FILTER(I:I, I:I&lt;&gt;""""), 1))
"),"")</f>
        <v/>
      </c>
    </row>
    <row r="266" spans="1:10" ht="22.5" customHeight="1">
      <c r="A266" s="8" t="s">
        <v>616</v>
      </c>
      <c r="B266" s="10" t="s">
        <v>617</v>
      </c>
      <c r="C266" s="40" t="s">
        <v>104</v>
      </c>
      <c r="D266" s="40" t="s">
        <v>13</v>
      </c>
      <c r="E266" s="41" t="s">
        <v>30</v>
      </c>
      <c r="F266" s="19">
        <v>40.470799999999997</v>
      </c>
      <c r="G266" s="19">
        <v>-106.9192</v>
      </c>
      <c r="H266" s="52"/>
      <c r="I266" s="55"/>
      <c r="J266" s="56" t="str">
        <f ca="1">IFERROR(__xludf.DUMMYFUNCTION("IF(I262="""", """", RANK(I262, FILTER(I:I, I:I&lt;&gt;""""), 1))
"),"")</f>
        <v/>
      </c>
    </row>
    <row r="267" spans="1:10" ht="22.5" customHeight="1">
      <c r="A267" s="15" t="s">
        <v>618</v>
      </c>
      <c r="B267" s="17" t="s">
        <v>619</v>
      </c>
      <c r="C267" s="47" t="s">
        <v>366</v>
      </c>
      <c r="D267" s="47" t="s">
        <v>13</v>
      </c>
      <c r="E267" s="44" t="s">
        <v>22</v>
      </c>
      <c r="F267" s="19">
        <v>39.870600000000003</v>
      </c>
      <c r="G267" s="19">
        <v>-105.1553</v>
      </c>
      <c r="H267" s="36"/>
      <c r="I267" s="42"/>
      <c r="J267" s="48" t="str">
        <f ca="1">IFERROR(__xludf.DUMMYFUNCTION("IF(I263="""", """", RANK(I263, FILTER(I:I, I:I&lt;&gt;""""), 1))
"),"")</f>
        <v/>
      </c>
    </row>
    <row r="268" spans="1:10" ht="22.5" customHeight="1">
      <c r="A268" s="8" t="s">
        <v>620</v>
      </c>
      <c r="B268" s="10" t="s">
        <v>621</v>
      </c>
      <c r="C268" s="17" t="s">
        <v>622</v>
      </c>
      <c r="D268" s="17" t="s">
        <v>13</v>
      </c>
      <c r="E268" s="18" t="s">
        <v>40</v>
      </c>
      <c r="F268" s="19">
        <v>39.303400000000003</v>
      </c>
      <c r="G268" s="19">
        <v>-102.6045</v>
      </c>
      <c r="H268" s="20"/>
      <c r="I268" s="27"/>
      <c r="J268" s="20" t="str">
        <f ca="1">IFERROR(__xludf.DUMMYFUNCTION("IF(I264="""", """", RANK(I264, FILTER(I:I, I:I&lt;&gt;""""), 1))
"),"")</f>
        <v/>
      </c>
    </row>
    <row r="269" spans="1:10" ht="22.5" customHeight="1">
      <c r="A269" s="15" t="s">
        <v>623</v>
      </c>
      <c r="B269" s="17" t="s">
        <v>624</v>
      </c>
      <c r="C269" s="10" t="s">
        <v>625</v>
      </c>
      <c r="D269" s="10" t="s">
        <v>82</v>
      </c>
      <c r="E269" s="11" t="s">
        <v>18</v>
      </c>
      <c r="F269" s="19">
        <v>38.377800000000001</v>
      </c>
      <c r="G269" s="19">
        <v>-105.10639999999999</v>
      </c>
      <c r="H269" s="13"/>
      <c r="I269" s="14"/>
      <c r="J269" s="13" t="str">
        <f ca="1">IFERROR(__xludf.DUMMYFUNCTION("IF(I265="""", """", RANK(I265, FILTER(I:I, I:I&lt;&gt;""""), 1))
"),"")</f>
        <v/>
      </c>
    </row>
    <row r="270" spans="1:10" ht="22.5" customHeight="1">
      <c r="A270" s="8" t="s">
        <v>626</v>
      </c>
      <c r="B270" s="10" t="s">
        <v>627</v>
      </c>
      <c r="C270" s="17" t="s">
        <v>269</v>
      </c>
      <c r="D270" s="17" t="s">
        <v>13</v>
      </c>
      <c r="E270" s="18" t="s">
        <v>40</v>
      </c>
      <c r="F270" s="19">
        <v>40.179400000000001</v>
      </c>
      <c r="G270" s="19">
        <v>-105.10080000000001</v>
      </c>
      <c r="H270" s="20"/>
      <c r="I270" s="27"/>
      <c r="J270" s="20" t="str">
        <f ca="1">IFERROR(__xludf.DUMMYFUNCTION("IF(I266="""", """", RANK(I266, FILTER(I:I, I:I&lt;&gt;""""), 1))
"),"")</f>
        <v/>
      </c>
    </row>
    <row r="271" spans="1:10" ht="22.5" customHeight="1">
      <c r="A271" s="15" t="s">
        <v>628</v>
      </c>
      <c r="B271" s="17" t="s">
        <v>629</v>
      </c>
      <c r="C271" s="10" t="s">
        <v>630</v>
      </c>
      <c r="D271" s="10" t="s">
        <v>13</v>
      </c>
      <c r="E271" s="11" t="s">
        <v>40</v>
      </c>
      <c r="F271" s="19">
        <v>39.278500000000001</v>
      </c>
      <c r="G271" s="19">
        <v>-103.6931</v>
      </c>
      <c r="H271" s="32" t="s">
        <v>48</v>
      </c>
      <c r="I271" s="33">
        <v>45869</v>
      </c>
      <c r="J271" s="34">
        <f ca="1">IFERROR(__xludf.DUMMYFUNCTION("IF(I267="""", """", RANK(I267, FILTER(I:I, I:I&lt;&gt;""""), 1))
"),106)</f>
        <v>106</v>
      </c>
    </row>
    <row r="272" spans="1:10" ht="22.5" customHeight="1">
      <c r="A272" s="8" t="s">
        <v>631</v>
      </c>
      <c r="B272" s="10" t="s">
        <v>632</v>
      </c>
      <c r="C272" s="40" t="s">
        <v>633</v>
      </c>
      <c r="D272" s="40" t="s">
        <v>381</v>
      </c>
      <c r="E272" s="41" t="s">
        <v>14</v>
      </c>
      <c r="F272" s="19">
        <v>37.9375</v>
      </c>
      <c r="G272" s="19">
        <v>-107.84529999999999</v>
      </c>
      <c r="H272" s="52"/>
      <c r="I272" s="55"/>
      <c r="J272" s="56" t="str">
        <f ca="1">IFERROR(__xludf.DUMMYFUNCTION("IF(I268="""", """", RANK(I268, FILTER(I:I, I:I&lt;&gt;""""), 1))
"),"")</f>
        <v/>
      </c>
    </row>
    <row r="273" spans="1:10" ht="22.5" customHeight="1">
      <c r="A273" s="15" t="s">
        <v>634</v>
      </c>
      <c r="B273" s="17" t="s">
        <v>635</v>
      </c>
      <c r="C273" s="47" t="s">
        <v>636</v>
      </c>
      <c r="D273" s="47" t="s">
        <v>13</v>
      </c>
      <c r="E273" s="44" t="s">
        <v>22</v>
      </c>
      <c r="F273" s="19">
        <v>39.936900000000001</v>
      </c>
      <c r="G273" s="19">
        <v>-104.9786</v>
      </c>
      <c r="H273" s="36"/>
      <c r="I273" s="42"/>
      <c r="J273" s="48" t="str">
        <f ca="1">IFERROR(__xludf.DUMMYFUNCTION("IF(I269="""", """", RANK(I269, FILTER(I:I, I:I&lt;&gt;""""), 1))
"),"")</f>
        <v/>
      </c>
    </row>
    <row r="274" spans="1:10" ht="22.5" customHeight="1">
      <c r="A274" s="8" t="s">
        <v>637</v>
      </c>
      <c r="B274" s="10" t="s">
        <v>638</v>
      </c>
      <c r="C274" s="40" t="s">
        <v>66</v>
      </c>
      <c r="D274" s="40" t="s">
        <v>13</v>
      </c>
      <c r="E274" s="41" t="s">
        <v>14</v>
      </c>
      <c r="F274" s="19">
        <v>39.0548</v>
      </c>
      <c r="G274" s="19">
        <v>-108.5692</v>
      </c>
      <c r="H274" s="52"/>
      <c r="I274" s="55"/>
      <c r="J274" s="56" t="str">
        <f ca="1">IFERROR(__xludf.DUMMYFUNCTION("IF(I270="""", """", RANK(I270, FILTER(I:I, I:I&lt;&gt;""""), 1))
"),"")</f>
        <v/>
      </c>
    </row>
    <row r="275" spans="1:10" ht="22.5" customHeight="1">
      <c r="A275" s="15" t="s">
        <v>639</v>
      </c>
      <c r="B275" s="17" t="s">
        <v>640</v>
      </c>
      <c r="C275" s="47" t="s">
        <v>636</v>
      </c>
      <c r="D275" s="47" t="s">
        <v>82</v>
      </c>
      <c r="E275" s="44" t="s">
        <v>22</v>
      </c>
      <c r="F275" s="19">
        <v>39.857100000000003</v>
      </c>
      <c r="G275" s="19">
        <v>-104.91240000000001</v>
      </c>
      <c r="H275" s="36"/>
      <c r="I275" s="53">
        <v>45424</v>
      </c>
      <c r="J275" s="61">
        <f ca="1">IFERROR(__xludf.DUMMYFUNCTION("IF(I271="""", """", RANK(I271, FILTER(I:I, I:I&lt;&gt;""""), 1))
"),66)</f>
        <v>66</v>
      </c>
    </row>
    <row r="276" spans="1:10" ht="22.5" customHeight="1">
      <c r="A276" s="8" t="s">
        <v>641</v>
      </c>
      <c r="B276" s="10" t="s">
        <v>642</v>
      </c>
      <c r="C276" s="40" t="s">
        <v>643</v>
      </c>
      <c r="D276" s="40" t="s">
        <v>82</v>
      </c>
      <c r="E276" s="41" t="s">
        <v>40</v>
      </c>
      <c r="F276" s="19">
        <v>40.3352</v>
      </c>
      <c r="G276" s="19">
        <v>-105.0269</v>
      </c>
      <c r="H276" s="52"/>
      <c r="I276" s="50">
        <v>44512</v>
      </c>
      <c r="J276" s="51">
        <f ca="1">IFERROR(__xludf.DUMMYFUNCTION("IF(I272="""", """", RANK(I272, FILTER(I:I, I:I&lt;&gt;""""), 1))
"),31)</f>
        <v>31</v>
      </c>
    </row>
    <row r="277" spans="1:10" ht="22.5" customHeight="1">
      <c r="A277" s="15" t="s">
        <v>644</v>
      </c>
      <c r="B277" s="17" t="s">
        <v>645</v>
      </c>
      <c r="C277" s="47" t="s">
        <v>646</v>
      </c>
      <c r="D277" s="47" t="s">
        <v>13</v>
      </c>
      <c r="E277" s="44" t="s">
        <v>18</v>
      </c>
      <c r="F277" s="19">
        <v>37.166800000000002</v>
      </c>
      <c r="G277" s="19">
        <v>-104.4987</v>
      </c>
      <c r="H277" s="36"/>
      <c r="I277" s="53">
        <v>45395</v>
      </c>
      <c r="J277" s="61">
        <f ca="1">IFERROR(__xludf.DUMMYFUNCTION("IF(I273="""", """", RANK(I273, FILTER(I:I, I:I&lt;&gt;""""), 1))
"),62)</f>
        <v>62</v>
      </c>
    </row>
    <row r="278" spans="1:10" ht="22.5" customHeight="1">
      <c r="A278" s="8" t="s">
        <v>647</v>
      </c>
      <c r="B278" s="10" t="s">
        <v>648</v>
      </c>
      <c r="C278" s="40" t="s">
        <v>269</v>
      </c>
      <c r="D278" s="40" t="s">
        <v>13</v>
      </c>
      <c r="E278" s="41" t="s">
        <v>40</v>
      </c>
      <c r="F278" s="19">
        <v>40.154899999999998</v>
      </c>
      <c r="G278" s="19">
        <v>-105.1583</v>
      </c>
      <c r="H278" s="52"/>
      <c r="I278" s="55"/>
      <c r="J278" s="56" t="str">
        <f ca="1">IFERROR(__xludf.DUMMYFUNCTION("IF(I274="""", """", RANK(I274, FILTER(I:I, I:I&lt;&gt;""""), 1))
"),"")</f>
        <v/>
      </c>
    </row>
    <row r="279" spans="1:10" ht="22.5" customHeight="1">
      <c r="A279" s="15" t="s">
        <v>649</v>
      </c>
      <c r="B279" s="17" t="s">
        <v>650</v>
      </c>
      <c r="C279" s="47" t="s">
        <v>651</v>
      </c>
      <c r="D279" s="47" t="s">
        <v>13</v>
      </c>
      <c r="E279" s="44" t="s">
        <v>14</v>
      </c>
      <c r="F279" s="19">
        <v>39.032699999999998</v>
      </c>
      <c r="G279" s="19">
        <v>-108.5224</v>
      </c>
      <c r="H279" s="36"/>
      <c r="I279" s="42"/>
      <c r="J279" s="48" t="str">
        <f ca="1">IFERROR(__xludf.DUMMYFUNCTION("IF(I275="""", """", RANK(I275, FILTER(I:I, I:I&lt;&gt;""""), 1))
"),"")</f>
        <v/>
      </c>
    </row>
    <row r="280" spans="1:10" ht="22.5" customHeight="1">
      <c r="A280" s="8" t="s">
        <v>652</v>
      </c>
      <c r="B280" s="10" t="s">
        <v>653</v>
      </c>
      <c r="C280" s="40" t="s">
        <v>269</v>
      </c>
      <c r="D280" s="40" t="s">
        <v>13</v>
      </c>
      <c r="E280" s="41" t="s">
        <v>22</v>
      </c>
      <c r="F280" s="19">
        <v>40.204099999999997</v>
      </c>
      <c r="G280" s="19">
        <v>-105.09050000000001</v>
      </c>
      <c r="H280" s="52"/>
      <c r="I280" s="55"/>
      <c r="J280" s="56" t="str">
        <f ca="1">IFERROR(__xludf.DUMMYFUNCTION("IF(I276="""", """", RANK(I276, FILTER(I:I, I:I&lt;&gt;""""), 1))
"),"")</f>
        <v/>
      </c>
    </row>
    <row r="281" spans="1:10" ht="22.5" customHeight="1">
      <c r="A281" s="15" t="s">
        <v>654</v>
      </c>
      <c r="B281" s="17" t="s">
        <v>655</v>
      </c>
      <c r="C281" s="47" t="s">
        <v>656</v>
      </c>
      <c r="D281" s="47" t="s">
        <v>13</v>
      </c>
      <c r="E281" s="44" t="s">
        <v>30</v>
      </c>
      <c r="F281" s="19">
        <v>39.6372</v>
      </c>
      <c r="G281" s="19">
        <v>-106.3796</v>
      </c>
      <c r="H281" s="52"/>
      <c r="I281" s="42"/>
      <c r="J281" s="48" t="str">
        <f ca="1">IFERROR(__xludf.DUMMYFUNCTION("IF(I277="""", """", RANK(I277, FILTER(I:I, I:I&lt;&gt;""""), 1))
"),"")</f>
        <v/>
      </c>
    </row>
    <row r="282" spans="1:10" ht="22.5" customHeight="1">
      <c r="A282" s="8" t="s">
        <v>657</v>
      </c>
      <c r="B282" s="10" t="s">
        <v>658</v>
      </c>
      <c r="C282" s="40" t="s">
        <v>599</v>
      </c>
      <c r="D282" s="40" t="s">
        <v>29</v>
      </c>
      <c r="E282" s="41" t="s">
        <v>22</v>
      </c>
      <c r="F282" s="19">
        <v>39.558300000000003</v>
      </c>
      <c r="G282" s="19">
        <v>-104.7881</v>
      </c>
      <c r="H282" s="93" t="s">
        <v>708</v>
      </c>
      <c r="I282" s="50">
        <v>45201</v>
      </c>
      <c r="J282" s="51">
        <f ca="1">IFERROR(__xludf.DUMMYFUNCTION("IF(I278="""", """", RANK(I278, FILTER(I:I, I:I&lt;&gt;""""), 1))
"),57)</f>
        <v>57</v>
      </c>
    </row>
    <row r="283" spans="1:10" ht="22.5" customHeight="1">
      <c r="A283" s="15" t="s">
        <v>659</v>
      </c>
      <c r="B283" s="17" t="s">
        <v>660</v>
      </c>
      <c r="C283" s="47" t="s">
        <v>88</v>
      </c>
      <c r="D283" s="47" t="s">
        <v>13</v>
      </c>
      <c r="E283" s="44" t="s">
        <v>18</v>
      </c>
      <c r="F283" s="19">
        <v>38.826900000000002</v>
      </c>
      <c r="G283" s="19">
        <v>-104.77330000000001</v>
      </c>
      <c r="H283" s="36"/>
      <c r="I283" s="53">
        <v>43708</v>
      </c>
      <c r="J283" s="61">
        <f ca="1">IFERROR(__xludf.DUMMYFUNCTION("IF(I279="""", """", RANK(I279, FILTER(I:I, I:I&lt;&gt;""""), 1))
"),13)</f>
        <v>13</v>
      </c>
    </row>
    <row r="284" spans="1:10" ht="22.5" customHeight="1">
      <c r="A284" s="8" t="s">
        <v>661</v>
      </c>
      <c r="B284" s="10" t="s">
        <v>662</v>
      </c>
      <c r="C284" s="40" t="s">
        <v>235</v>
      </c>
      <c r="D284" s="40" t="s">
        <v>13</v>
      </c>
      <c r="E284" s="41" t="s">
        <v>18</v>
      </c>
      <c r="F284" s="19">
        <v>38.312399999999997</v>
      </c>
      <c r="G284" s="19">
        <v>-104.5598</v>
      </c>
      <c r="H284" s="52"/>
      <c r="I284" s="55"/>
      <c r="J284" s="56" t="str">
        <f ca="1">IFERROR(__xludf.DUMMYFUNCTION("IF(I280="""", """", RANK(I280, FILTER(I:I, I:I&lt;&gt;""""), 1))
"),"")</f>
        <v/>
      </c>
    </row>
    <row r="285" spans="1:10" ht="22.5" customHeight="1">
      <c r="A285" s="15" t="s">
        <v>663</v>
      </c>
      <c r="B285" s="17" t="s">
        <v>664</v>
      </c>
      <c r="C285" s="47" t="s">
        <v>311</v>
      </c>
      <c r="D285" s="47" t="s">
        <v>13</v>
      </c>
      <c r="E285" s="44" t="s">
        <v>22</v>
      </c>
      <c r="F285" s="19">
        <v>39.884799999999998</v>
      </c>
      <c r="G285" s="19">
        <v>-105.1336</v>
      </c>
      <c r="H285" s="82" t="s">
        <v>698</v>
      </c>
      <c r="I285" s="53">
        <v>44672</v>
      </c>
      <c r="J285" s="61">
        <f ca="1">IFERROR(__xludf.DUMMYFUNCTION("IF(I281="""", """", RANK(I281, FILTER(I:I, I:I&lt;&gt;""""), 1))
"),33)</f>
        <v>33</v>
      </c>
    </row>
    <row r="286" spans="1:10" ht="22.5" customHeight="1">
      <c r="A286" s="8" t="s">
        <v>665</v>
      </c>
      <c r="B286" s="10" t="s">
        <v>666</v>
      </c>
      <c r="C286" s="40" t="s">
        <v>667</v>
      </c>
      <c r="D286" s="40" t="s">
        <v>13</v>
      </c>
      <c r="E286" s="41" t="s">
        <v>18</v>
      </c>
      <c r="F286" s="19">
        <v>37.623399999999997</v>
      </c>
      <c r="G286" s="19">
        <v>-104.7816</v>
      </c>
      <c r="H286" s="52"/>
      <c r="I286" s="55"/>
      <c r="J286" s="56" t="str">
        <f ca="1">IFERROR(__xludf.DUMMYFUNCTION("IF(I282="""", """", RANK(I282, FILTER(I:I, I:I&lt;&gt;""""), 1))
"),"")</f>
        <v/>
      </c>
    </row>
    <row r="287" spans="1:10" ht="22.5" customHeight="1">
      <c r="A287" s="15" t="s">
        <v>668</v>
      </c>
      <c r="B287" s="17" t="s">
        <v>669</v>
      </c>
      <c r="C287" s="47" t="s">
        <v>670</v>
      </c>
      <c r="D287" s="47" t="s">
        <v>13</v>
      </c>
      <c r="E287" s="44" t="s">
        <v>40</v>
      </c>
      <c r="F287" s="19">
        <v>40.169499999999999</v>
      </c>
      <c r="G287" s="19">
        <v>-103.2139</v>
      </c>
      <c r="H287" s="36"/>
      <c r="I287" s="42"/>
      <c r="J287" s="48" t="str">
        <f ca="1">IFERROR(__xludf.DUMMYFUNCTION("IF(I283="""", """", RANK(I283, FILTER(I:I, I:I&lt;&gt;""""), 1))
"),"")</f>
        <v/>
      </c>
    </row>
    <row r="288" spans="1:10" ht="22.5" customHeight="1">
      <c r="A288" s="8" t="s">
        <v>671</v>
      </c>
      <c r="B288" s="10" t="s">
        <v>672</v>
      </c>
      <c r="C288" s="40" t="s">
        <v>47</v>
      </c>
      <c r="D288" s="40" t="s">
        <v>13</v>
      </c>
      <c r="E288" s="41" t="s">
        <v>22</v>
      </c>
      <c r="F288" s="19">
        <v>39.660400000000003</v>
      </c>
      <c r="G288" s="19">
        <v>-104.9418</v>
      </c>
      <c r="H288" s="49" t="s">
        <v>48</v>
      </c>
      <c r="I288" s="50">
        <v>45097</v>
      </c>
      <c r="J288" s="51">
        <f ca="1">IFERROR(__xludf.DUMMYFUNCTION("IF(I284="""", """", RANK(I284, FILTER(I:I, I:I&lt;&gt;""""), 1))
"),46)</f>
        <v>46</v>
      </c>
    </row>
    <row r="289" spans="1:10" ht="22.5" customHeight="1">
      <c r="A289" s="15" t="s">
        <v>673</v>
      </c>
      <c r="B289" s="17" t="s">
        <v>674</v>
      </c>
      <c r="C289" s="47" t="s">
        <v>366</v>
      </c>
      <c r="D289" s="47" t="s">
        <v>13</v>
      </c>
      <c r="E289" s="44" t="s">
        <v>22</v>
      </c>
      <c r="F289" s="19">
        <v>39.817500000000003</v>
      </c>
      <c r="G289" s="19">
        <v>-105.21939999999999</v>
      </c>
      <c r="H289" s="36"/>
      <c r="I289" s="42"/>
      <c r="J289" s="48" t="str">
        <f ca="1">IFERROR(__xludf.DUMMYFUNCTION("IF(I285="""", """", RANK(I285, FILTER(I:I, I:I&lt;&gt;""""), 1))
"),"")</f>
        <v/>
      </c>
    </row>
    <row r="290" spans="1:10" ht="22.5" customHeight="1">
      <c r="A290" s="8" t="s">
        <v>675</v>
      </c>
      <c r="B290" s="10" t="s">
        <v>674</v>
      </c>
      <c r="C290" s="40" t="s">
        <v>366</v>
      </c>
      <c r="D290" s="40" t="s">
        <v>13</v>
      </c>
      <c r="E290" s="41" t="s">
        <v>22</v>
      </c>
      <c r="F290" s="19">
        <v>39.817500000000003</v>
      </c>
      <c r="G290" s="19">
        <v>-105.21939999999999</v>
      </c>
      <c r="H290" s="52"/>
      <c r="I290" s="55"/>
      <c r="J290" s="56" t="str">
        <f ca="1">IFERROR(__xludf.DUMMYFUNCTION("IF(I286="""", """", RANK(I286, FILTER(I:I, I:I&lt;&gt;""""), 1))
"),"")</f>
        <v/>
      </c>
    </row>
    <row r="291" spans="1:10" ht="22.5" customHeight="1">
      <c r="A291" s="15" t="s">
        <v>676</v>
      </c>
      <c r="B291" s="17" t="s">
        <v>674</v>
      </c>
      <c r="C291" s="47" t="s">
        <v>366</v>
      </c>
      <c r="D291" s="47" t="s">
        <v>13</v>
      </c>
      <c r="E291" s="44" t="s">
        <v>22</v>
      </c>
      <c r="F291" s="19">
        <v>39.817500000000003</v>
      </c>
      <c r="G291" s="19">
        <v>-105.21939999999999</v>
      </c>
      <c r="H291" s="36"/>
      <c r="I291" s="42"/>
      <c r="J291" s="48" t="str">
        <f ca="1">IFERROR(__xludf.DUMMYFUNCTION("IF(I287="""", """", RANK(I287, FILTER(I:I, I:I&lt;&gt;""""), 1))
"),"")</f>
        <v/>
      </c>
    </row>
    <row r="292" spans="1:10" ht="22.5" customHeight="1">
      <c r="A292" s="8" t="s">
        <v>677</v>
      </c>
      <c r="B292" s="10" t="s">
        <v>678</v>
      </c>
      <c r="C292" s="17" t="s">
        <v>47</v>
      </c>
      <c r="D292" s="17" t="s">
        <v>13</v>
      </c>
      <c r="E292" s="18" t="s">
        <v>22</v>
      </c>
      <c r="F292" s="19">
        <v>39.786200000000001</v>
      </c>
      <c r="G292" s="19">
        <v>-105.0463</v>
      </c>
      <c r="H292" s="28" t="s">
        <v>48</v>
      </c>
      <c r="I292" s="21">
        <v>45148</v>
      </c>
      <c r="J292" s="22">
        <f ca="1">IFERROR(__xludf.DUMMYFUNCTION("IF(I288="""", """", RANK(I288, FILTER(I:I, I:I&lt;&gt;""""), 1))
"),54)</f>
        <v>54</v>
      </c>
    </row>
    <row r="293" spans="1:10" ht="22.5" customHeight="1">
      <c r="A293" s="15" t="s">
        <v>679</v>
      </c>
      <c r="B293" s="17" t="s">
        <v>680</v>
      </c>
      <c r="C293" s="10" t="s">
        <v>54</v>
      </c>
      <c r="D293" s="10" t="s">
        <v>13</v>
      </c>
      <c r="E293" s="11" t="s">
        <v>30</v>
      </c>
      <c r="F293" s="19">
        <v>39.633899999999997</v>
      </c>
      <c r="G293" s="19">
        <v>-106.5228</v>
      </c>
      <c r="H293" s="13"/>
      <c r="I293" s="14"/>
      <c r="J293" s="13" t="str">
        <f ca="1">IFERROR(__xludf.DUMMYFUNCTION("IF(I289="""", """", RANK(I289, FILTER(I:I, I:I&lt;&gt;""""), 1))
"),"")</f>
        <v/>
      </c>
    </row>
    <row r="294" spans="1:10" ht="22.5" customHeight="1">
      <c r="A294" s="15" t="s">
        <v>681</v>
      </c>
      <c r="B294" s="12" t="s">
        <v>682</v>
      </c>
      <c r="C294" s="17" t="s">
        <v>683</v>
      </c>
      <c r="D294" s="17" t="s">
        <v>29</v>
      </c>
      <c r="E294" s="18" t="s">
        <v>30</v>
      </c>
      <c r="F294" s="19">
        <v>40.490400000000001</v>
      </c>
      <c r="G294" s="19">
        <v>-106.80670000000001</v>
      </c>
      <c r="H294" s="20"/>
      <c r="I294" s="27"/>
      <c r="J294" s="20" t="str">
        <f ca="1">IFERROR(__xludf.DUMMYFUNCTION("IF(I290="""", """", RANK(I290, FILTER(I:I, I:I&lt;&gt;""""), 1))
"),"")</f>
        <v/>
      </c>
    </row>
    <row r="295" spans="1:10" ht="22.5" customHeight="1">
      <c r="A295" s="8" t="s">
        <v>684</v>
      </c>
      <c r="B295" s="10" t="s">
        <v>685</v>
      </c>
      <c r="C295" s="10" t="s">
        <v>686</v>
      </c>
      <c r="D295" s="10" t="s">
        <v>13</v>
      </c>
      <c r="E295" s="11" t="s">
        <v>40</v>
      </c>
      <c r="F295" s="19">
        <v>40.073900000000002</v>
      </c>
      <c r="G295" s="19">
        <v>-102.2235</v>
      </c>
      <c r="H295" s="13"/>
      <c r="I295" s="14"/>
      <c r="J295" s="13" t="str">
        <f ca="1">IFERROR(__xludf.DUMMYFUNCTION("IF(I291="""", """", RANK(I291, FILTER(I:I, I:I&lt;&gt;""""), 1))
"),"")</f>
        <v/>
      </c>
    </row>
    <row r="296" spans="1:10" ht="22.5" customHeight="1">
      <c r="A296" s="15" t="s">
        <v>687</v>
      </c>
      <c r="B296" s="17" t="s">
        <v>688</v>
      </c>
      <c r="C296" s="17" t="s">
        <v>689</v>
      </c>
      <c r="D296" s="17" t="s">
        <v>13</v>
      </c>
      <c r="E296" s="18" t="s">
        <v>30</v>
      </c>
      <c r="F296" s="19">
        <v>40.514600000000002</v>
      </c>
      <c r="G296" s="19">
        <v>-107.5528</v>
      </c>
      <c r="H296" s="20"/>
      <c r="I296" s="27"/>
      <c r="J296" s="20" t="str">
        <f ca="1">IFERROR(__xludf.DUMMYFUNCTION("IF(I292="""", """", RANK(I292, FILTER(I:I, I:I&lt;&gt;""""), 1))
"),"")</f>
        <v/>
      </c>
    </row>
    <row r="297" spans="1:10" ht="22.5" customHeight="1">
      <c r="A297" s="65"/>
      <c r="B297" s="13"/>
      <c r="C297" s="13"/>
      <c r="D297" s="13"/>
      <c r="E297" s="66"/>
      <c r="F297" s="67"/>
      <c r="G297" s="67"/>
      <c r="H297" s="13"/>
      <c r="I297" s="14"/>
      <c r="J297" s="13" t="str">
        <f ca="1">IFERROR(__xludf.DUMMYFUNCTION("IF(I293="""", """", RANK(I293, FILTER(I:I, I:I&lt;&gt;""""), 1))
"),"")</f>
        <v/>
      </c>
    </row>
    <row r="298" spans="1:10" ht="22.5" customHeight="1">
      <c r="A298" s="68"/>
      <c r="B298" s="20"/>
      <c r="C298" s="20"/>
      <c r="D298" s="20"/>
      <c r="E298" s="69"/>
      <c r="F298" s="70"/>
      <c r="G298" s="70"/>
      <c r="H298" s="20"/>
      <c r="I298" s="27"/>
      <c r="J298" s="20" t="str">
        <f ca="1">IFERROR(__xludf.DUMMYFUNCTION("IF(I294="""", """", RANK(I294, FILTER(I:I, I:I&lt;&gt;""""), 1))
"),"")</f>
        <v/>
      </c>
    </row>
    <row r="299" spans="1:10" ht="22.5" customHeight="1">
      <c r="A299" s="65"/>
      <c r="B299" s="13"/>
      <c r="C299" s="13"/>
      <c r="D299" s="13"/>
      <c r="E299" s="66"/>
      <c r="F299" s="67"/>
      <c r="G299" s="67"/>
      <c r="H299" s="13"/>
      <c r="I299" s="14"/>
      <c r="J299" s="13" t="str">
        <f ca="1">IFERROR(__xludf.DUMMYFUNCTION("IF(I295="""", """", RANK(I295, FILTER(I:I, I:I&lt;&gt;""""), 1))
"),"")</f>
        <v/>
      </c>
    </row>
    <row r="300" spans="1:10" ht="22.5" customHeight="1">
      <c r="A300" s="68"/>
      <c r="B300" s="20"/>
      <c r="C300" s="20"/>
      <c r="D300" s="20"/>
      <c r="E300" s="69"/>
      <c r="F300" s="70"/>
      <c r="G300" s="70"/>
      <c r="H300" s="20"/>
      <c r="I300" s="27"/>
      <c r="J300" s="20" t="str">
        <f ca="1">IFERROR(__xludf.DUMMYFUNCTION("IF(I296="""", """", RANK(I296, FILTER(I:I, I:I&lt;&gt;""""), 1))
"),"")</f>
        <v/>
      </c>
    </row>
    <row r="301" spans="1:10" ht="22.5" customHeight="1">
      <c r="A301" s="65"/>
      <c r="B301" s="13"/>
      <c r="C301" s="13"/>
      <c r="D301" s="13"/>
      <c r="E301" s="66"/>
      <c r="F301" s="67"/>
      <c r="G301" s="67"/>
      <c r="H301" s="13"/>
      <c r="I301" s="14"/>
      <c r="J301" s="13" t="str">
        <f ca="1">IFERROR(__xludf.DUMMYFUNCTION("IF(I297="""", """", RANK(I297, FILTER(I:I, I:I&lt;&gt;""""), 1))
"),"")</f>
        <v/>
      </c>
    </row>
    <row r="302" spans="1:10" ht="22.5" customHeight="1">
      <c r="A302" s="68"/>
      <c r="B302" s="20"/>
      <c r="C302" s="20"/>
      <c r="D302" s="20"/>
      <c r="E302" s="69"/>
      <c r="F302" s="70"/>
      <c r="G302" s="70"/>
      <c r="H302" s="20"/>
      <c r="I302" s="27"/>
      <c r="J302" s="20" t="str">
        <f ca="1">IFERROR(__xludf.DUMMYFUNCTION("IF(I298="""", """", RANK(I298, FILTER(I:I, I:I&lt;&gt;""""), 1))
"),"")</f>
        <v/>
      </c>
    </row>
    <row r="303" spans="1:10" ht="22.5" customHeight="1">
      <c r="A303" s="65"/>
      <c r="B303" s="13"/>
      <c r="C303" s="13"/>
      <c r="D303" s="13"/>
      <c r="E303" s="66"/>
      <c r="F303" s="67"/>
      <c r="G303" s="67"/>
      <c r="H303" s="13"/>
      <c r="I303" s="14"/>
      <c r="J303" s="13" t="str">
        <f ca="1">IFERROR(__xludf.DUMMYFUNCTION("IF(I299="""", """", RANK(I299, FILTER(I:I, I:I&lt;&gt;""""), 1))
"),"")</f>
        <v/>
      </c>
    </row>
    <row r="304" spans="1:10" ht="22.5" customHeight="1">
      <c r="A304" s="68"/>
      <c r="B304" s="20"/>
      <c r="C304" s="20"/>
      <c r="D304" s="20"/>
      <c r="E304" s="69"/>
      <c r="F304" s="70"/>
      <c r="G304" s="70"/>
      <c r="H304" s="20"/>
      <c r="I304" s="27"/>
      <c r="J304" s="20" t="str">
        <f ca="1">IFERROR(__xludf.DUMMYFUNCTION("IF(I300="""", """", RANK(I300, FILTER(I:I, I:I&lt;&gt;""""), 1))
"),"")</f>
        <v/>
      </c>
    </row>
    <row r="305" spans="1:10" ht="22.5" customHeight="1">
      <c r="A305" s="65"/>
      <c r="B305" s="13"/>
      <c r="C305" s="13"/>
      <c r="D305" s="13"/>
      <c r="E305" s="66"/>
      <c r="F305" s="67"/>
      <c r="G305" s="67"/>
      <c r="H305" s="13"/>
      <c r="I305" s="14"/>
      <c r="J305" s="13" t="str">
        <f ca="1">IFERROR(__xludf.DUMMYFUNCTION("IF(I301="""", """", RANK(I301, FILTER(I:I, I:I&lt;&gt;""""), 1))
"),"")</f>
        <v/>
      </c>
    </row>
    <row r="306" spans="1:10" ht="22.5" customHeight="1">
      <c r="A306" s="68"/>
      <c r="B306" s="20"/>
      <c r="C306" s="20"/>
      <c r="D306" s="20"/>
      <c r="E306" s="69"/>
      <c r="F306" s="70"/>
      <c r="G306" s="70"/>
      <c r="H306" s="20"/>
      <c r="I306" s="27"/>
      <c r="J306" s="20" t="str">
        <f ca="1">IFERROR(__xludf.DUMMYFUNCTION("IF(I302="""", """", RANK(I302, FILTER(I:I, I:I&lt;&gt;""""), 1))
"),"")</f>
        <v/>
      </c>
    </row>
    <row r="307" spans="1:10" ht="22.5" customHeight="1">
      <c r="A307" s="65"/>
      <c r="B307" s="13"/>
      <c r="C307" s="13"/>
      <c r="D307" s="13"/>
      <c r="E307" s="66"/>
      <c r="F307" s="67"/>
      <c r="G307" s="67"/>
      <c r="H307" s="13"/>
      <c r="I307" s="14"/>
      <c r="J307" s="13" t="str">
        <f ca="1">IFERROR(__xludf.DUMMYFUNCTION("IF(I303="""", """", RANK(I303, FILTER(I:I, I:I&lt;&gt;""""), 1))
"),"")</f>
        <v/>
      </c>
    </row>
    <row r="308" spans="1:10" ht="22.5" customHeight="1">
      <c r="A308" s="68"/>
      <c r="B308" s="20"/>
      <c r="C308" s="20"/>
      <c r="D308" s="20"/>
      <c r="E308" s="69"/>
      <c r="F308" s="70"/>
      <c r="G308" s="70"/>
      <c r="H308" s="20"/>
      <c r="I308" s="27"/>
      <c r="J308" s="20" t="str">
        <f ca="1">IFERROR(__xludf.DUMMYFUNCTION("IF(I304="""", """", RANK(I304, FILTER(I:I, I:I&lt;&gt;""""), 1))
"),"")</f>
        <v/>
      </c>
    </row>
    <row r="309" spans="1:10" ht="22.5" customHeight="1">
      <c r="A309" s="65"/>
      <c r="B309" s="13"/>
      <c r="C309" s="13"/>
      <c r="D309" s="13"/>
      <c r="E309" s="66"/>
      <c r="F309" s="67"/>
      <c r="G309" s="67"/>
      <c r="H309" s="13"/>
      <c r="I309" s="14"/>
      <c r="J309" s="13" t="str">
        <f ca="1">IFERROR(__xludf.DUMMYFUNCTION("IF(I305="""", """", RANK(I305, FILTER(I:I, I:I&lt;&gt;""""), 1))
"),"")</f>
        <v/>
      </c>
    </row>
    <row r="310" spans="1:10" ht="22.5" customHeight="1">
      <c r="A310" s="68"/>
      <c r="B310" s="20"/>
      <c r="C310" s="20"/>
      <c r="D310" s="20"/>
      <c r="E310" s="69"/>
      <c r="F310" s="70"/>
      <c r="G310" s="70"/>
      <c r="H310" s="20"/>
      <c r="I310" s="27"/>
      <c r="J310" s="20" t="str">
        <f ca="1">IFERROR(__xludf.DUMMYFUNCTION("IF(I306="""", """", RANK(I306, FILTER(I:I, I:I&lt;&gt;""""), 1))
"),"")</f>
        <v/>
      </c>
    </row>
    <row r="311" spans="1:10" ht="22.5" customHeight="1">
      <c r="A311" s="65"/>
      <c r="B311" s="13"/>
      <c r="C311" s="13"/>
      <c r="D311" s="13"/>
      <c r="E311" s="66"/>
      <c r="F311" s="67"/>
      <c r="G311" s="67"/>
      <c r="H311" s="13"/>
      <c r="I311" s="14"/>
      <c r="J311" s="13" t="str">
        <f ca="1">IFERROR(__xludf.DUMMYFUNCTION("IF(I307="""", """", RANK(I307, FILTER(I:I, I:I&lt;&gt;""""), 1))
"),"")</f>
        <v/>
      </c>
    </row>
    <row r="312" spans="1:10" ht="22.5" customHeight="1">
      <c r="A312" s="68"/>
      <c r="B312" s="20"/>
      <c r="C312" s="20"/>
      <c r="D312" s="20"/>
      <c r="E312" s="69"/>
      <c r="F312" s="70"/>
      <c r="G312" s="70"/>
      <c r="H312" s="20"/>
      <c r="I312" s="27"/>
      <c r="J312" s="20" t="str">
        <f ca="1">IFERROR(__xludf.DUMMYFUNCTION("IF(I308="""", """", RANK(I308, FILTER(I:I, I:I&lt;&gt;""""), 1))
"),"")</f>
        <v/>
      </c>
    </row>
    <row r="313" spans="1:10" ht="22.5" customHeight="1">
      <c r="A313" s="65"/>
      <c r="B313" s="13"/>
      <c r="C313" s="13"/>
      <c r="D313" s="13"/>
      <c r="E313" s="66"/>
      <c r="F313" s="67"/>
      <c r="G313" s="67"/>
      <c r="H313" s="13"/>
      <c r="I313" s="14"/>
      <c r="J313" s="13" t="str">
        <f ca="1">IFERROR(__xludf.DUMMYFUNCTION("IF(I309="""", """", RANK(I309, FILTER(I:I, I:I&lt;&gt;""""), 1))
"),"")</f>
        <v/>
      </c>
    </row>
    <row r="314" spans="1:10" ht="22.5" customHeight="1">
      <c r="A314" s="68"/>
      <c r="B314" s="20"/>
      <c r="C314" s="20"/>
      <c r="D314" s="20"/>
      <c r="E314" s="69"/>
      <c r="F314" s="70"/>
      <c r="G314" s="70"/>
      <c r="H314" s="20"/>
      <c r="I314" s="27"/>
      <c r="J314" s="20" t="str">
        <f ca="1">IFERROR(__xludf.DUMMYFUNCTION("IF(I310="""", """", RANK(I310, FILTER(I:I, I:I&lt;&gt;""""), 1))
"),"")</f>
        <v/>
      </c>
    </row>
    <row r="315" spans="1:10" ht="22.5" customHeight="1">
      <c r="A315" s="65"/>
      <c r="B315" s="13"/>
      <c r="C315" s="13"/>
      <c r="D315" s="13"/>
      <c r="E315" s="66"/>
      <c r="F315" s="67"/>
      <c r="G315" s="67"/>
      <c r="H315" s="13"/>
      <c r="I315" s="14"/>
      <c r="J315" s="13" t="str">
        <f ca="1">IFERROR(__xludf.DUMMYFUNCTION("IF(I311="""", """", RANK(I311, FILTER(I:I, I:I&lt;&gt;""""), 1))
"),"")</f>
        <v/>
      </c>
    </row>
    <row r="316" spans="1:10" ht="22.5" customHeight="1">
      <c r="A316" s="68"/>
      <c r="B316" s="20"/>
      <c r="C316" s="20"/>
      <c r="D316" s="20"/>
      <c r="E316" s="69"/>
      <c r="F316" s="70"/>
      <c r="G316" s="70"/>
      <c r="H316" s="20"/>
      <c r="I316" s="27"/>
      <c r="J316" s="20" t="str">
        <f ca="1">IFERROR(__xludf.DUMMYFUNCTION("IF(I312="""", """", RANK(I312, FILTER(I:I, I:I&lt;&gt;""""), 1))
"),"")</f>
        <v/>
      </c>
    </row>
    <row r="317" spans="1:10" ht="22.5" customHeight="1">
      <c r="A317" s="65"/>
      <c r="B317" s="13"/>
      <c r="C317" s="13"/>
      <c r="D317" s="13"/>
      <c r="E317" s="66"/>
      <c r="F317" s="67"/>
      <c r="G317" s="67"/>
      <c r="H317" s="13"/>
      <c r="I317" s="14"/>
      <c r="J317" s="13" t="str">
        <f ca="1">IFERROR(__xludf.DUMMYFUNCTION("IF(I313="""", """", RANK(I313, FILTER(I:I, I:I&lt;&gt;""""), 1))
"),"")</f>
        <v/>
      </c>
    </row>
    <row r="318" spans="1:10" ht="22.5" customHeight="1">
      <c r="A318" s="68"/>
      <c r="B318" s="20"/>
      <c r="C318" s="20"/>
      <c r="D318" s="20"/>
      <c r="E318" s="69"/>
      <c r="F318" s="70"/>
      <c r="G318" s="70"/>
      <c r="H318" s="20"/>
      <c r="I318" s="27"/>
      <c r="J318" s="20" t="str">
        <f ca="1">IFERROR(__xludf.DUMMYFUNCTION("IF(I314="""", """", RANK(I314, FILTER(I:I, I:I&lt;&gt;""""), 1))
"),"")</f>
        <v/>
      </c>
    </row>
    <row r="319" spans="1:10" ht="22.5" customHeight="1">
      <c r="A319" s="65"/>
      <c r="B319" s="13"/>
      <c r="C319" s="13"/>
      <c r="D319" s="13"/>
      <c r="E319" s="66"/>
      <c r="F319" s="67"/>
      <c r="G319" s="67"/>
      <c r="H319" s="13"/>
      <c r="I319" s="14"/>
      <c r="J319" s="13" t="str">
        <f ca="1">IFERROR(__xludf.DUMMYFUNCTION("IF(I315="""", """", RANK(I315, FILTER(I:I, I:I&lt;&gt;""""), 1))
"),"")</f>
        <v/>
      </c>
    </row>
    <row r="320" spans="1:10" ht="22.5" customHeight="1">
      <c r="A320" s="68"/>
      <c r="B320" s="20"/>
      <c r="C320" s="20"/>
      <c r="D320" s="20"/>
      <c r="E320" s="69"/>
      <c r="F320" s="70"/>
      <c r="G320" s="70"/>
      <c r="H320" s="20"/>
      <c r="I320" s="27"/>
      <c r="J320" s="20" t="str">
        <f ca="1">IFERROR(__xludf.DUMMYFUNCTION("IF(I316="""", """", RANK(I316, FILTER(I:I, I:I&lt;&gt;""""), 1))
"),"")</f>
        <v/>
      </c>
    </row>
    <row r="321" spans="1:10" ht="22.5" customHeight="1">
      <c r="A321" s="65"/>
      <c r="B321" s="13"/>
      <c r="C321" s="13"/>
      <c r="D321" s="13"/>
      <c r="E321" s="66"/>
      <c r="F321" s="67"/>
      <c r="G321" s="67"/>
      <c r="H321" s="13"/>
      <c r="I321" s="14"/>
      <c r="J321" s="13" t="str">
        <f ca="1">IFERROR(__xludf.DUMMYFUNCTION("IF(I317="""", """", RANK(I317, FILTER(I:I, I:I&lt;&gt;""""), 1))
"),"")</f>
        <v/>
      </c>
    </row>
    <row r="322" spans="1:10" ht="22.5" customHeight="1">
      <c r="A322" s="68"/>
      <c r="B322" s="20"/>
      <c r="C322" s="20"/>
      <c r="D322" s="20"/>
      <c r="E322" s="69"/>
      <c r="F322" s="70"/>
      <c r="G322" s="70"/>
      <c r="H322" s="20"/>
      <c r="I322" s="27"/>
      <c r="J322" s="20" t="str">
        <f ca="1">IFERROR(__xludf.DUMMYFUNCTION("IF(I318="""", """", RANK(I318, FILTER(I:I, I:I&lt;&gt;""""), 1))
"),"")</f>
        <v/>
      </c>
    </row>
    <row r="323" spans="1:10" ht="22.5" customHeight="1">
      <c r="A323" s="65"/>
      <c r="B323" s="13"/>
      <c r="C323" s="13"/>
      <c r="D323" s="13"/>
      <c r="E323" s="66"/>
      <c r="F323" s="67"/>
      <c r="G323" s="67"/>
      <c r="H323" s="13"/>
      <c r="I323" s="14"/>
      <c r="J323" s="13" t="str">
        <f ca="1">IFERROR(__xludf.DUMMYFUNCTION("IF(I319="""", """", RANK(I319, FILTER(I:I, I:I&lt;&gt;""""), 1))
"),"")</f>
        <v/>
      </c>
    </row>
    <row r="324" spans="1:10" ht="22.5" customHeight="1">
      <c r="A324" s="68"/>
      <c r="B324" s="20"/>
      <c r="C324" s="20"/>
      <c r="D324" s="20"/>
      <c r="E324" s="69"/>
      <c r="F324" s="70"/>
      <c r="G324" s="70"/>
      <c r="H324" s="13"/>
      <c r="I324" s="14"/>
      <c r="J324" s="13" t="str">
        <f ca="1">IFERROR(__xludf.DUMMYFUNCTION("IF(I320="""", """", RANK(I320, FILTER(I:I, I:I&lt;&gt;""""), 1))
"),"")</f>
        <v/>
      </c>
    </row>
    <row r="325" spans="1:10" ht="22.5" customHeight="1">
      <c r="A325" s="65"/>
      <c r="B325" s="13"/>
      <c r="C325" s="13"/>
      <c r="D325" s="13"/>
      <c r="E325" s="66"/>
      <c r="F325" s="67"/>
      <c r="G325" s="67"/>
      <c r="H325" s="20"/>
      <c r="I325" s="27"/>
      <c r="J325" s="20" t="str">
        <f ca="1">IFERROR(__xludf.DUMMYFUNCTION("IF(I321="""", """", RANK(I321, FILTER(I:I, I:I&lt;&gt;""""), 1))
"),"")</f>
        <v/>
      </c>
    </row>
    <row r="326" spans="1:10" ht="22.5" customHeight="1">
      <c r="A326" s="68"/>
      <c r="B326" s="20"/>
      <c r="C326" s="20"/>
      <c r="D326" s="20"/>
      <c r="E326" s="69"/>
      <c r="F326" s="70"/>
      <c r="G326" s="70"/>
      <c r="H326" s="13"/>
      <c r="I326" s="14"/>
      <c r="J326" s="13" t="str">
        <f ca="1">IFERROR(__xludf.DUMMYFUNCTION("IF(I322="""", """", RANK(I322, FILTER(I:I, I:I&lt;&gt;""""), 1))
"),"")</f>
        <v/>
      </c>
    </row>
    <row r="327" spans="1:10" ht="22.5" customHeight="1">
      <c r="A327" s="65"/>
      <c r="B327" s="13"/>
      <c r="C327" s="13"/>
      <c r="D327" s="13"/>
      <c r="E327" s="66"/>
      <c r="F327" s="67"/>
      <c r="G327" s="67"/>
      <c r="H327" s="20"/>
      <c r="I327" s="27"/>
      <c r="J327" s="20" t="str">
        <f ca="1">IFERROR(__xludf.DUMMYFUNCTION("IF(I323="""", """", RANK(I323, FILTER(I:I, I:I&lt;&gt;""""), 1))
"),"")</f>
        <v/>
      </c>
    </row>
    <row r="328" spans="1:10" ht="22.5" customHeight="1">
      <c r="A328" s="68"/>
      <c r="B328" s="20"/>
      <c r="C328" s="20"/>
      <c r="D328" s="20"/>
      <c r="E328" s="69"/>
      <c r="F328" s="70"/>
      <c r="G328" s="70"/>
      <c r="H328" s="13"/>
      <c r="I328" s="14"/>
      <c r="J328" s="13" t="str">
        <f ca="1">IFERROR(__xludf.DUMMYFUNCTION("IF(I324="""", """", RANK(I324, FILTER(I:I, I:I&lt;&gt;""""), 1))
"),"")</f>
        <v/>
      </c>
    </row>
    <row r="329" spans="1:10" ht="22.5" customHeight="1">
      <c r="A329" s="65"/>
      <c r="B329" s="13"/>
      <c r="C329" s="13"/>
      <c r="D329" s="13"/>
      <c r="E329" s="66"/>
      <c r="F329" s="67"/>
      <c r="G329" s="67"/>
      <c r="H329" s="20"/>
      <c r="I329" s="27"/>
      <c r="J329" s="20" t="str">
        <f ca="1">IFERROR(__xludf.DUMMYFUNCTION("IF(I325="""", """", RANK(I325, FILTER(I:I, I:I&lt;&gt;""""), 1))
"),"")</f>
        <v/>
      </c>
    </row>
    <row r="330" spans="1:10" ht="22.5" customHeight="1">
      <c r="A330" s="68"/>
      <c r="B330" s="20"/>
      <c r="C330" s="20"/>
      <c r="D330" s="20"/>
      <c r="E330" s="69"/>
      <c r="F330" s="70"/>
      <c r="G330" s="70"/>
      <c r="H330" s="13"/>
      <c r="I330" s="14"/>
      <c r="J330" s="13" t="str">
        <f ca="1">IFERROR(__xludf.DUMMYFUNCTION("IF(I326="""", """", RANK(I326, FILTER(I:I, I:I&lt;&gt;""""), 1))
"),"")</f>
        <v/>
      </c>
    </row>
    <row r="331" spans="1:10" ht="22.5" customHeight="1">
      <c r="C331" s="13"/>
      <c r="D331" s="13"/>
      <c r="E331" s="66"/>
      <c r="F331" s="67"/>
      <c r="G331" s="67"/>
      <c r="H331" s="20"/>
      <c r="I331" s="27"/>
      <c r="J331" s="20" t="str">
        <f ca="1">IFERROR(__xludf.DUMMYFUNCTION("IF(I327="""", """", RANK(I327, FILTER(I:I, I:I&lt;&gt;""""), 1))
"),"")</f>
        <v/>
      </c>
    </row>
    <row r="332" spans="1:10" ht="22.5" customHeight="1">
      <c r="A332" s="65"/>
      <c r="B332" s="13"/>
      <c r="C332" s="20"/>
      <c r="D332" s="20"/>
      <c r="E332" s="69"/>
      <c r="F332" s="70"/>
      <c r="G332" s="70"/>
      <c r="H332" s="13"/>
      <c r="I332" s="14"/>
      <c r="J332" s="13" t="str">
        <f ca="1">IFERROR(__xludf.DUMMYFUNCTION("IF(I328="""", """", RANK(I328, FILTER(I:I, I:I&lt;&gt;""""), 1))
"),"")</f>
        <v/>
      </c>
    </row>
    <row r="333" spans="1:10" ht="22.5" customHeight="1">
      <c r="A333" s="68"/>
      <c r="B333" s="20"/>
      <c r="C333" s="13"/>
      <c r="D333" s="13"/>
      <c r="E333" s="66"/>
      <c r="F333" s="67"/>
      <c r="G333" s="67"/>
      <c r="H333" s="20"/>
      <c r="I333" s="27"/>
      <c r="J333" s="20" t="str">
        <f ca="1">IFERROR(__xludf.DUMMYFUNCTION("IF(I329="""", """", RANK(I329, FILTER(I:I, I:I&lt;&gt;""""), 1))
"),"")</f>
        <v/>
      </c>
    </row>
    <row r="334" spans="1:10" ht="22.5" customHeight="1">
      <c r="A334" s="65"/>
      <c r="B334" s="13"/>
      <c r="C334" s="20"/>
      <c r="D334" s="20"/>
      <c r="E334" s="69"/>
      <c r="F334" s="70"/>
      <c r="G334" s="70"/>
      <c r="H334" s="13"/>
      <c r="I334" s="14"/>
      <c r="J334" s="13" t="str">
        <f ca="1">IFERROR(__xludf.DUMMYFUNCTION("IF(I330="""", """", RANK(I330, FILTER(I:I, I:I&lt;&gt;""""), 1))
"),"")</f>
        <v/>
      </c>
    </row>
    <row r="335" spans="1:10" ht="22.5" customHeight="1">
      <c r="A335" s="68"/>
      <c r="B335" s="20"/>
      <c r="C335" s="13"/>
      <c r="D335" s="13"/>
      <c r="E335" s="66"/>
      <c r="F335" s="67"/>
      <c r="G335" s="67"/>
      <c r="H335" s="20"/>
      <c r="I335" s="27"/>
      <c r="J335" s="20" t="str">
        <f ca="1">IFERROR(__xludf.DUMMYFUNCTION("IF(I331="""", """", RANK(I331, FILTER(I:I, I:I&lt;&gt;""""), 1))
"),"")</f>
        <v/>
      </c>
    </row>
    <row r="336" spans="1:10" ht="22.5" customHeight="1">
      <c r="A336" s="65"/>
      <c r="B336" s="13"/>
      <c r="C336" s="20"/>
      <c r="D336" s="20"/>
      <c r="E336" s="69"/>
      <c r="F336" s="70"/>
      <c r="G336" s="70"/>
      <c r="H336" s="13"/>
      <c r="I336" s="14"/>
      <c r="J336" s="13" t="str">
        <f ca="1">IFERROR(__xludf.DUMMYFUNCTION("IF(I332="""", """", RANK(I332, FILTER(I:I, I:I&lt;&gt;""""), 1))
"),"")</f>
        <v/>
      </c>
    </row>
    <row r="337" spans="1:10" ht="22.5" customHeight="1">
      <c r="A337" s="68"/>
      <c r="B337" s="20"/>
      <c r="C337" s="13"/>
      <c r="D337" s="13"/>
      <c r="E337" s="66"/>
      <c r="F337" s="67"/>
      <c r="G337" s="67"/>
      <c r="H337" s="20"/>
      <c r="I337" s="27"/>
      <c r="J337" s="20" t="str">
        <f ca="1">IFERROR(__xludf.DUMMYFUNCTION("IF(I333="""", """", RANK(I333, FILTER(I:I, I:I&lt;&gt;""""), 1))
"),"")</f>
        <v/>
      </c>
    </row>
    <row r="338" spans="1:10" ht="22.5" customHeight="1">
      <c r="A338" s="65"/>
      <c r="B338" s="13"/>
      <c r="C338" s="20"/>
      <c r="D338" s="20"/>
      <c r="E338" s="69"/>
      <c r="F338" s="70"/>
      <c r="G338" s="70"/>
      <c r="H338" s="13"/>
      <c r="I338" s="14"/>
      <c r="J338" s="13" t="str">
        <f ca="1">IFERROR(__xludf.DUMMYFUNCTION("IF(I334="""", """", RANK(I334, FILTER(I:I, I:I&lt;&gt;""""), 1))
"),"")</f>
        <v/>
      </c>
    </row>
    <row r="339" spans="1:10" ht="22.5" customHeight="1">
      <c r="A339" s="68"/>
      <c r="B339" s="20"/>
      <c r="C339" s="13"/>
      <c r="D339" s="13"/>
      <c r="E339" s="66"/>
      <c r="F339" s="67"/>
      <c r="G339" s="67"/>
      <c r="H339" s="20"/>
      <c r="I339" s="27"/>
      <c r="J339" s="20" t="str">
        <f ca="1">IFERROR(__xludf.DUMMYFUNCTION("IF(I335="""", """", RANK(I335, FILTER(I:I, I:I&lt;&gt;""""), 1))
"),"")</f>
        <v/>
      </c>
    </row>
    <row r="340" spans="1:10" ht="22.5" customHeight="1">
      <c r="A340" s="65"/>
      <c r="B340" s="13"/>
      <c r="C340" s="20"/>
      <c r="D340" s="20"/>
      <c r="E340" s="69"/>
      <c r="F340" s="70"/>
      <c r="G340" s="70"/>
      <c r="H340" s="13"/>
      <c r="I340" s="14"/>
      <c r="J340" s="13" t="str">
        <f ca="1">IFERROR(__xludf.DUMMYFUNCTION("IF(I336="""", """", RANK(I336, FILTER(I:I, I:I&lt;&gt;""""), 1))
"),"")</f>
        <v/>
      </c>
    </row>
    <row r="341" spans="1:10" ht="22.5" customHeight="1">
      <c r="A341" s="68"/>
      <c r="B341" s="20"/>
      <c r="C341" s="13"/>
      <c r="D341" s="13"/>
      <c r="E341" s="66"/>
      <c r="F341" s="67"/>
      <c r="G341" s="67"/>
      <c r="H341" s="20"/>
      <c r="I341" s="27"/>
      <c r="J341" s="20" t="str">
        <f ca="1">IFERROR(__xludf.DUMMYFUNCTION("IF(I337="""", """", RANK(I337, FILTER(I:I, I:I&lt;&gt;""""), 1))
"),"")</f>
        <v/>
      </c>
    </row>
    <row r="342" spans="1:10" ht="22.5" customHeight="1">
      <c r="A342" s="65"/>
      <c r="B342" s="13"/>
      <c r="C342" s="20"/>
      <c r="D342" s="20"/>
      <c r="E342" s="69"/>
      <c r="F342" s="70"/>
      <c r="G342" s="70"/>
      <c r="H342" s="13"/>
      <c r="I342" s="14"/>
      <c r="J342" s="13" t="str">
        <f ca="1">IFERROR(__xludf.DUMMYFUNCTION("IF(I338="""", """", RANK(I338, FILTER(I:I, I:I&lt;&gt;""""), 1))
"),"")</f>
        <v/>
      </c>
    </row>
    <row r="343" spans="1:10" ht="22.5" customHeight="1">
      <c r="A343" s="68"/>
      <c r="B343" s="20"/>
      <c r="C343" s="13"/>
      <c r="D343" s="13"/>
      <c r="E343" s="66"/>
      <c r="F343" s="67"/>
      <c r="G343" s="67"/>
      <c r="H343" s="20"/>
      <c r="I343" s="27"/>
      <c r="J343" s="20" t="str">
        <f ca="1">IFERROR(__xludf.DUMMYFUNCTION("IF(I339="""", """", RANK(I339, FILTER(I:I, I:I&lt;&gt;""""), 1))
"),"")</f>
        <v/>
      </c>
    </row>
    <row r="344" spans="1:10" ht="22.5" customHeight="1">
      <c r="A344" s="65"/>
      <c r="B344" s="13"/>
      <c r="C344" s="20"/>
      <c r="D344" s="20"/>
      <c r="E344" s="69"/>
      <c r="F344" s="70"/>
      <c r="G344" s="70"/>
      <c r="H344" s="13"/>
      <c r="I344" s="14"/>
      <c r="J344" s="13" t="str">
        <f ca="1">IFERROR(__xludf.DUMMYFUNCTION("IF(I340="""", """", RANK(I340, FILTER(I:I, I:I&lt;&gt;""""), 1))
"),"")</f>
        <v/>
      </c>
    </row>
    <row r="345" spans="1:10" ht="22.5" customHeight="1">
      <c r="A345" s="68"/>
      <c r="B345" s="20"/>
      <c r="C345" s="13"/>
      <c r="D345" s="13"/>
      <c r="E345" s="66"/>
      <c r="F345" s="67"/>
      <c r="G345" s="67"/>
      <c r="H345" s="20"/>
      <c r="I345" s="27"/>
      <c r="J345" s="20" t="str">
        <f ca="1">IFERROR(__xludf.DUMMYFUNCTION("IF(I341="""", """", RANK(I341, FILTER(I:I, I:I&lt;&gt;""""), 1))
"),"")</f>
        <v/>
      </c>
    </row>
    <row r="346" spans="1:10" ht="22.5" customHeight="1">
      <c r="A346" s="65"/>
      <c r="B346" s="13"/>
      <c r="C346" s="20"/>
      <c r="D346" s="20"/>
      <c r="E346" s="69"/>
      <c r="F346" s="70"/>
      <c r="G346" s="70"/>
      <c r="H346" s="13"/>
      <c r="I346" s="14"/>
      <c r="J346" s="13" t="str">
        <f ca="1">IFERROR(__xludf.DUMMYFUNCTION("IF(I342="""", """", RANK(I342, FILTER(I:I, I:I&lt;&gt;""""), 1))
"),"")</f>
        <v/>
      </c>
    </row>
    <row r="347" spans="1:10" ht="22.5" customHeight="1">
      <c r="A347" s="68"/>
      <c r="B347" s="20"/>
      <c r="C347" s="13"/>
      <c r="D347" s="13"/>
      <c r="E347" s="66"/>
      <c r="F347" s="67"/>
      <c r="G347" s="67"/>
      <c r="H347" s="20"/>
      <c r="I347" s="27"/>
      <c r="J347" s="20" t="str">
        <f ca="1">IFERROR(__xludf.DUMMYFUNCTION("IF(I343="""", """", RANK(I343, FILTER(I:I, I:I&lt;&gt;""""), 1))
"),"")</f>
        <v/>
      </c>
    </row>
    <row r="348" spans="1:10" ht="22.5" customHeight="1">
      <c r="A348" s="65"/>
      <c r="B348" s="13"/>
      <c r="C348" s="20"/>
      <c r="D348" s="20"/>
      <c r="E348" s="69"/>
      <c r="F348" s="70"/>
      <c r="G348" s="70"/>
      <c r="H348" s="13"/>
      <c r="I348" s="14"/>
      <c r="J348" s="13" t="str">
        <f ca="1">IFERROR(__xludf.DUMMYFUNCTION("IF(I344="""", """", RANK(I344, FILTER(I:I, I:I&lt;&gt;""""), 1))
"),"")</f>
        <v/>
      </c>
    </row>
    <row r="349" spans="1:10" ht="22.5" customHeight="1">
      <c r="A349" s="68"/>
      <c r="B349" s="20"/>
      <c r="C349" s="13"/>
      <c r="D349" s="13"/>
      <c r="E349" s="66"/>
      <c r="F349" s="67"/>
      <c r="G349" s="67"/>
      <c r="H349" s="20"/>
      <c r="I349" s="27"/>
      <c r="J349" s="20" t="str">
        <f ca="1">IFERROR(__xludf.DUMMYFUNCTION("IF(I345="""", """", RANK(I345, FILTER(I:I, I:I&lt;&gt;""""), 1))
"),"")</f>
        <v/>
      </c>
    </row>
    <row r="350" spans="1:10" ht="22.5" customHeight="1">
      <c r="A350" s="65"/>
      <c r="B350" s="13"/>
      <c r="C350" s="20"/>
      <c r="D350" s="20"/>
      <c r="E350" s="69"/>
      <c r="F350" s="70"/>
      <c r="G350" s="70"/>
      <c r="H350" s="13"/>
      <c r="I350" s="14"/>
      <c r="J350" s="13" t="str">
        <f ca="1">IFERROR(__xludf.DUMMYFUNCTION("IF(I346="""", """", RANK(I346, FILTER(I:I, I:I&lt;&gt;""""), 1))
"),"")</f>
        <v/>
      </c>
    </row>
    <row r="351" spans="1:10" ht="22.5" customHeight="1">
      <c r="A351" s="68"/>
      <c r="B351" s="20"/>
      <c r="C351" s="13"/>
      <c r="D351" s="13"/>
      <c r="E351" s="66"/>
      <c r="F351" s="67"/>
      <c r="G351" s="67"/>
      <c r="H351" s="20"/>
      <c r="I351" s="27"/>
      <c r="J351" s="20" t="str">
        <f ca="1">IFERROR(__xludf.DUMMYFUNCTION("IF(I347="""", """", RANK(I347, FILTER(I:I, I:I&lt;&gt;""""), 1))
"),"")</f>
        <v/>
      </c>
    </row>
    <row r="352" spans="1:10" ht="22.5" customHeight="1">
      <c r="A352" s="65"/>
      <c r="B352" s="13"/>
      <c r="C352" s="20"/>
      <c r="D352" s="20"/>
      <c r="E352" s="69"/>
      <c r="F352" s="70"/>
      <c r="G352" s="70"/>
      <c r="H352" s="13"/>
      <c r="I352" s="14"/>
      <c r="J352" s="13" t="str">
        <f ca="1">IFERROR(__xludf.DUMMYFUNCTION("IF(I348="""", """", RANK(I348, FILTER(I:I, I:I&lt;&gt;""""), 1))
"),"")</f>
        <v/>
      </c>
    </row>
    <row r="353" spans="1:10" ht="22.5" customHeight="1">
      <c r="A353" s="68"/>
      <c r="B353" s="20"/>
      <c r="C353" s="13"/>
      <c r="D353" s="13"/>
      <c r="E353" s="66"/>
      <c r="F353" s="67"/>
      <c r="G353" s="67"/>
      <c r="H353" s="20"/>
      <c r="I353" s="27"/>
      <c r="J353" s="20" t="str">
        <f ca="1">IFERROR(__xludf.DUMMYFUNCTION("IF(I349="""", """", RANK(I349, FILTER(I:I, I:I&lt;&gt;""""), 1))
"),"")</f>
        <v/>
      </c>
    </row>
    <row r="354" spans="1:10" ht="22.5" customHeight="1">
      <c r="A354" s="65"/>
      <c r="B354" s="13"/>
      <c r="C354" s="20"/>
      <c r="D354" s="20"/>
      <c r="E354" s="69"/>
      <c r="F354" s="70"/>
      <c r="G354" s="70"/>
      <c r="H354" s="13"/>
      <c r="I354" s="14"/>
      <c r="J354" s="13" t="str">
        <f ca="1">IFERROR(__xludf.DUMMYFUNCTION("IF(I350="""", """", RANK(I350, FILTER(I:I, I:I&lt;&gt;""""), 1))
"),"")</f>
        <v/>
      </c>
    </row>
    <row r="355" spans="1:10" ht="22.5" customHeight="1">
      <c r="A355" s="68"/>
      <c r="B355" s="20"/>
      <c r="C355" s="13"/>
      <c r="D355" s="13"/>
      <c r="E355" s="66"/>
      <c r="F355" s="67"/>
      <c r="G355" s="67"/>
      <c r="H355" s="20"/>
      <c r="I355" s="27"/>
      <c r="J355" s="20" t="str">
        <f ca="1">IFERROR(__xludf.DUMMYFUNCTION("IF(I351="""", """", RANK(I351, FILTER(I:I, I:I&lt;&gt;""""), 1))
"),"")</f>
        <v/>
      </c>
    </row>
    <row r="356" spans="1:10" ht="22.5" customHeight="1">
      <c r="A356" s="65"/>
      <c r="B356" s="13"/>
      <c r="C356" s="20"/>
      <c r="D356" s="20"/>
      <c r="E356" s="69"/>
      <c r="F356" s="70"/>
      <c r="G356" s="70"/>
      <c r="H356" s="13"/>
      <c r="I356" s="14"/>
      <c r="J356" s="13" t="str">
        <f ca="1">IFERROR(__xludf.DUMMYFUNCTION("IF(I352="""", """", RANK(I352, FILTER(I:I, I:I&lt;&gt;""""), 1))
"),"")</f>
        <v/>
      </c>
    </row>
    <row r="357" spans="1:10" ht="22.5" customHeight="1">
      <c r="A357" s="68"/>
      <c r="B357" s="20"/>
      <c r="C357" s="13"/>
      <c r="D357" s="13"/>
      <c r="E357" s="66"/>
      <c r="F357" s="67"/>
      <c r="G357" s="67"/>
      <c r="H357" s="20"/>
      <c r="I357" s="27"/>
      <c r="J357" s="20" t="str">
        <f ca="1">IFERROR(__xludf.DUMMYFUNCTION("IF(I353="""", """", RANK(I353, FILTER(I:I, I:I&lt;&gt;""""), 1))
"),"")</f>
        <v/>
      </c>
    </row>
    <row r="358" spans="1:10" ht="22.5" customHeight="1">
      <c r="A358" s="65"/>
      <c r="B358" s="13"/>
      <c r="C358" s="20"/>
      <c r="D358" s="20"/>
      <c r="E358" s="69"/>
      <c r="F358" s="70"/>
      <c r="G358" s="70"/>
      <c r="H358" s="13"/>
      <c r="I358" s="14"/>
      <c r="J358" s="13" t="str">
        <f ca="1">IFERROR(__xludf.DUMMYFUNCTION("IF(I354="""", """", RANK(I354, FILTER(I:I, I:I&lt;&gt;""""), 1))
"),"")</f>
        <v/>
      </c>
    </row>
    <row r="359" spans="1:10" ht="22.5" customHeight="1">
      <c r="A359" s="68"/>
      <c r="B359" s="20"/>
      <c r="C359" s="13"/>
      <c r="D359" s="13"/>
      <c r="E359" s="66"/>
      <c r="F359" s="67"/>
      <c r="G359" s="67"/>
      <c r="H359" s="20"/>
      <c r="I359" s="27"/>
      <c r="J359" s="20" t="str">
        <f ca="1">IFERROR(__xludf.DUMMYFUNCTION("IF(I355="""", """", RANK(I355, FILTER(I:I, I:I&lt;&gt;""""), 1))
"),"")</f>
        <v/>
      </c>
    </row>
    <row r="360" spans="1:10" ht="22.5" customHeight="1">
      <c r="A360" s="65"/>
      <c r="B360" s="13"/>
      <c r="C360" s="20"/>
      <c r="D360" s="20"/>
      <c r="E360" s="69"/>
      <c r="F360" s="70"/>
      <c r="G360" s="70"/>
      <c r="H360" s="13"/>
      <c r="I360" s="14"/>
      <c r="J360" s="13" t="str">
        <f ca="1">IFERROR(__xludf.DUMMYFUNCTION("IF(I356="""", """", RANK(I356, FILTER(I:I, I:I&lt;&gt;""""), 1))
"),"")</f>
        <v/>
      </c>
    </row>
    <row r="361" spans="1:10" ht="22.5" customHeight="1">
      <c r="A361" s="68"/>
      <c r="B361" s="20"/>
      <c r="C361" s="13"/>
      <c r="D361" s="13"/>
      <c r="E361" s="66"/>
      <c r="F361" s="67"/>
      <c r="G361" s="67"/>
      <c r="H361" s="20"/>
      <c r="I361" s="27"/>
      <c r="J361" s="20" t="str">
        <f ca="1">IFERROR(__xludf.DUMMYFUNCTION("IF(I357="""", """", RANK(I357, FILTER(I:I, I:I&lt;&gt;""""), 1))
"),"")</f>
        <v/>
      </c>
    </row>
    <row r="362" spans="1:10" ht="22.5" customHeight="1">
      <c r="A362" s="65"/>
      <c r="B362" s="13"/>
      <c r="C362" s="20"/>
      <c r="D362" s="20"/>
      <c r="E362" s="69"/>
      <c r="F362" s="70"/>
      <c r="G362" s="70"/>
      <c r="H362" s="13"/>
      <c r="I362" s="14"/>
      <c r="J362" s="13" t="str">
        <f ca="1">IFERROR(__xludf.DUMMYFUNCTION("IF(I358="""", """", RANK(I358, FILTER(I:I, I:I&lt;&gt;""""), 1))
"),"")</f>
        <v/>
      </c>
    </row>
    <row r="363" spans="1:10" ht="22.5" customHeight="1">
      <c r="A363" s="68"/>
      <c r="B363" s="20"/>
      <c r="C363" s="13"/>
      <c r="D363" s="13"/>
      <c r="E363" s="66"/>
      <c r="F363" s="67"/>
      <c r="G363" s="67"/>
      <c r="H363" s="20"/>
      <c r="I363" s="27"/>
      <c r="J363" s="20" t="str">
        <f ca="1">IFERROR(__xludf.DUMMYFUNCTION("IF(I359="""", """", RANK(I359, FILTER(I:I, I:I&lt;&gt;""""), 1))
"),"")</f>
        <v/>
      </c>
    </row>
    <row r="364" spans="1:10" ht="22.5" customHeight="1">
      <c r="A364" s="65"/>
      <c r="B364" s="13"/>
      <c r="C364" s="20"/>
      <c r="D364" s="20"/>
      <c r="E364" s="69"/>
      <c r="F364" s="70"/>
      <c r="G364" s="70"/>
      <c r="H364" s="13"/>
      <c r="I364" s="14"/>
      <c r="J364" s="13" t="str">
        <f ca="1">IFERROR(__xludf.DUMMYFUNCTION("IF(I360="""", """", RANK(I360, FILTER(I:I, I:I&lt;&gt;""""), 1))
"),"")</f>
        <v/>
      </c>
    </row>
    <row r="365" spans="1:10" ht="22.5" customHeight="1">
      <c r="A365" s="68"/>
      <c r="B365" s="20"/>
      <c r="C365" s="13"/>
      <c r="D365" s="13"/>
      <c r="E365" s="66"/>
      <c r="F365" s="67"/>
      <c r="G365" s="67"/>
      <c r="H365" s="20"/>
      <c r="I365" s="27"/>
      <c r="J365" s="20" t="str">
        <f ca="1">IFERROR(__xludf.DUMMYFUNCTION("IF(I361="""", """", RANK(I361, FILTER(I:I, I:I&lt;&gt;""""), 1))
"),"")</f>
        <v/>
      </c>
    </row>
    <row r="366" spans="1:10" ht="22.5" customHeight="1">
      <c r="A366" s="65"/>
      <c r="B366" s="13"/>
      <c r="C366" s="20"/>
      <c r="D366" s="20"/>
      <c r="E366" s="69"/>
      <c r="F366" s="70"/>
      <c r="G366" s="70"/>
      <c r="H366" s="13"/>
      <c r="I366" s="14"/>
      <c r="J366" s="13" t="str">
        <f ca="1">IFERROR(__xludf.DUMMYFUNCTION("IF(I362="""", """", RANK(I362, FILTER(I:I, I:I&lt;&gt;""""), 1))
"),"")</f>
        <v/>
      </c>
    </row>
    <row r="367" spans="1:10" ht="22.5" customHeight="1">
      <c r="A367" s="68"/>
      <c r="B367" s="20"/>
      <c r="C367" s="13"/>
      <c r="D367" s="13"/>
      <c r="E367" s="66"/>
      <c r="F367" s="67"/>
      <c r="G367" s="67"/>
      <c r="H367" s="20"/>
      <c r="I367" s="27"/>
      <c r="J367" s="20" t="str">
        <f ca="1">IFERROR(__xludf.DUMMYFUNCTION("IF(I363="""", """", RANK(I363, FILTER(I:I, I:I&lt;&gt;""""), 1))
"),"")</f>
        <v/>
      </c>
    </row>
    <row r="368" spans="1:10" ht="22.5" customHeight="1">
      <c r="A368" s="65"/>
      <c r="B368" s="13"/>
      <c r="C368" s="20"/>
      <c r="D368" s="20"/>
      <c r="E368" s="69"/>
      <c r="F368" s="70"/>
      <c r="G368" s="70"/>
      <c r="H368" s="13"/>
      <c r="I368" s="14"/>
      <c r="J368" s="13" t="str">
        <f ca="1">IFERROR(__xludf.DUMMYFUNCTION("IF(I364="""", """", RANK(I364, FILTER(I:I, I:I&lt;&gt;""""), 1))
"),"")</f>
        <v/>
      </c>
    </row>
    <row r="369" spans="1:10" ht="22.5" customHeight="1">
      <c r="A369" s="68"/>
      <c r="B369" s="20"/>
      <c r="C369" s="13"/>
      <c r="D369" s="13"/>
      <c r="E369" s="66"/>
      <c r="F369" s="67"/>
      <c r="G369" s="67"/>
      <c r="H369" s="20"/>
      <c r="I369" s="27"/>
      <c r="J369" s="20" t="str">
        <f ca="1">IFERROR(__xludf.DUMMYFUNCTION("IF(I365="""", """", RANK(I365, FILTER(I:I, I:I&lt;&gt;""""), 1))
"),"")</f>
        <v/>
      </c>
    </row>
    <row r="370" spans="1:10" ht="22.5" customHeight="1">
      <c r="A370" s="65"/>
      <c r="B370" s="13"/>
      <c r="C370" s="20"/>
      <c r="D370" s="20"/>
      <c r="E370" s="69"/>
      <c r="F370" s="70"/>
      <c r="G370" s="70"/>
      <c r="H370" s="13"/>
      <c r="I370" s="14"/>
      <c r="J370" s="13" t="str">
        <f ca="1">IFERROR(__xludf.DUMMYFUNCTION("IF(I366="""", """", RANK(I366, FILTER(I:I, I:I&lt;&gt;""""), 1))
"),"")</f>
        <v/>
      </c>
    </row>
    <row r="371" spans="1:10" ht="22.5" customHeight="1">
      <c r="A371" s="68"/>
      <c r="B371" s="20"/>
      <c r="C371" s="13"/>
      <c r="D371" s="13"/>
      <c r="E371" s="66"/>
      <c r="F371" s="67"/>
      <c r="G371" s="67"/>
      <c r="H371" s="20"/>
      <c r="I371" s="27"/>
      <c r="J371" s="20" t="str">
        <f ca="1">IFERROR(__xludf.DUMMYFUNCTION("IF(I367="""", """", RANK(I367, FILTER(I:I, I:I&lt;&gt;""""), 1))
"),"")</f>
        <v/>
      </c>
    </row>
    <row r="372" spans="1:10" ht="22.5" customHeight="1">
      <c r="A372" s="65"/>
      <c r="B372" s="13"/>
      <c r="C372" s="20"/>
      <c r="D372" s="20"/>
      <c r="E372" s="69"/>
      <c r="F372" s="70"/>
      <c r="G372" s="70"/>
      <c r="H372" s="13"/>
      <c r="I372" s="14"/>
      <c r="J372" s="13" t="str">
        <f ca="1">IFERROR(__xludf.DUMMYFUNCTION("IF(I368="""", """", RANK(I368, FILTER(I:I, I:I&lt;&gt;""""), 1))
"),"")</f>
        <v/>
      </c>
    </row>
    <row r="373" spans="1:10" ht="22.5" customHeight="1">
      <c r="A373" s="68"/>
      <c r="B373" s="20"/>
      <c r="C373" s="13"/>
      <c r="D373" s="13"/>
      <c r="E373" s="66"/>
      <c r="F373" s="67"/>
      <c r="G373" s="67"/>
      <c r="H373" s="20"/>
      <c r="I373" s="27"/>
      <c r="J373" s="20" t="str">
        <f ca="1">IFERROR(__xludf.DUMMYFUNCTION("IF(I369="""", """", RANK(I369, FILTER(I:I, I:I&lt;&gt;""""), 1))
"),"")</f>
        <v/>
      </c>
    </row>
    <row r="374" spans="1:10" ht="22.5" customHeight="1">
      <c r="A374" s="65"/>
      <c r="B374" s="13"/>
      <c r="C374" s="20"/>
      <c r="D374" s="20"/>
      <c r="E374" s="69"/>
      <c r="F374" s="70"/>
      <c r="G374" s="70"/>
      <c r="H374" s="13"/>
      <c r="I374" s="14"/>
      <c r="J374" s="13" t="str">
        <f ca="1">IFERROR(__xludf.DUMMYFUNCTION("IF(I370="""", """", RANK(I370, FILTER(I:I, I:I&lt;&gt;""""), 1))
"),"")</f>
        <v/>
      </c>
    </row>
    <row r="375" spans="1:10" ht="22.5" customHeight="1">
      <c r="A375" s="68"/>
      <c r="B375" s="20"/>
      <c r="C375" s="13"/>
      <c r="D375" s="13"/>
      <c r="E375" s="66"/>
      <c r="F375" s="67"/>
      <c r="G375" s="67"/>
      <c r="H375" s="20"/>
      <c r="I375" s="27"/>
      <c r="J375" s="20" t="str">
        <f ca="1">IFERROR(__xludf.DUMMYFUNCTION("IF(I371="""", """", RANK(I371, FILTER(I:I, I:I&lt;&gt;""""), 1))
"),"")</f>
        <v/>
      </c>
    </row>
    <row r="376" spans="1:10" ht="22.5" customHeight="1">
      <c r="A376" s="65"/>
      <c r="B376" s="13"/>
      <c r="C376" s="20"/>
      <c r="D376" s="20"/>
      <c r="E376" s="69"/>
      <c r="F376" s="70"/>
      <c r="G376" s="70"/>
      <c r="H376" s="13"/>
      <c r="I376" s="14"/>
      <c r="J376" s="13" t="str">
        <f ca="1">IFERROR(__xludf.DUMMYFUNCTION("IF(I372="""", """", RANK(I372, FILTER(I:I, I:I&lt;&gt;""""), 1))
"),"")</f>
        <v/>
      </c>
    </row>
    <row r="377" spans="1:10" ht="22.5" customHeight="1">
      <c r="A377" s="68"/>
      <c r="B377" s="20"/>
      <c r="C377" s="13"/>
      <c r="D377" s="13"/>
      <c r="E377" s="66"/>
      <c r="F377" s="67"/>
      <c r="G377" s="67"/>
      <c r="H377" s="20"/>
      <c r="I377" s="27"/>
      <c r="J377" s="20" t="str">
        <f ca="1">IFERROR(__xludf.DUMMYFUNCTION("IF(I373="""", """", RANK(I373, FILTER(I:I, I:I&lt;&gt;""""), 1))
"),"")</f>
        <v/>
      </c>
    </row>
    <row r="378" spans="1:10" ht="22.5" customHeight="1">
      <c r="A378" s="65"/>
      <c r="B378" s="13"/>
      <c r="C378" s="20"/>
      <c r="D378" s="20"/>
      <c r="E378" s="69"/>
      <c r="F378" s="70"/>
      <c r="G378" s="70"/>
      <c r="H378" s="13"/>
      <c r="I378" s="14"/>
      <c r="J378" s="13" t="str">
        <f ca="1">IFERROR(__xludf.DUMMYFUNCTION("IF(I374="""", """", RANK(I374, FILTER(I:I, I:I&lt;&gt;""""), 1))
"),"")</f>
        <v/>
      </c>
    </row>
    <row r="379" spans="1:10" ht="22.5" customHeight="1">
      <c r="A379" s="68"/>
      <c r="B379" s="20"/>
      <c r="C379" s="13"/>
      <c r="D379" s="13"/>
      <c r="E379" s="66"/>
      <c r="F379" s="67"/>
      <c r="G379" s="67"/>
      <c r="H379" s="20"/>
      <c r="I379" s="27"/>
      <c r="J379" s="20" t="str">
        <f ca="1">IFERROR(__xludf.DUMMYFUNCTION("IF(I375="""", """", RANK(I375, FILTER(I:I, I:I&lt;&gt;""""), 1))
"),"")</f>
        <v/>
      </c>
    </row>
    <row r="380" spans="1:10" ht="22.5" customHeight="1">
      <c r="A380" s="65"/>
      <c r="B380" s="13"/>
      <c r="C380" s="20"/>
      <c r="D380" s="20"/>
      <c r="E380" s="69"/>
      <c r="F380" s="70"/>
      <c r="G380" s="70"/>
      <c r="H380" s="13"/>
      <c r="I380" s="14"/>
      <c r="J380" s="13" t="str">
        <f ca="1">IFERROR(__xludf.DUMMYFUNCTION("IF(I376="""", """", RANK(I376, FILTER(I:I, I:I&lt;&gt;""""), 1))
"),"")</f>
        <v/>
      </c>
    </row>
    <row r="381" spans="1:10" ht="22.5" customHeight="1">
      <c r="A381" s="68"/>
      <c r="B381" s="20"/>
      <c r="C381" s="13"/>
      <c r="D381" s="13"/>
      <c r="E381" s="66"/>
      <c r="F381" s="67"/>
      <c r="G381" s="67"/>
      <c r="H381" s="20"/>
      <c r="I381" s="27"/>
      <c r="J381" s="20" t="str">
        <f ca="1">IFERROR(__xludf.DUMMYFUNCTION("IF(I377="""", """", RANK(I377, FILTER(I:I, I:I&lt;&gt;""""), 1))
"),"")</f>
        <v/>
      </c>
    </row>
    <row r="382" spans="1:10" ht="22.5" customHeight="1">
      <c r="A382" s="65"/>
      <c r="B382" s="13"/>
      <c r="C382" s="20"/>
      <c r="D382" s="20"/>
      <c r="E382" s="69"/>
      <c r="F382" s="70"/>
      <c r="G382" s="70"/>
      <c r="H382" s="13"/>
      <c r="I382" s="14"/>
      <c r="J382" s="13" t="str">
        <f ca="1">IFERROR(__xludf.DUMMYFUNCTION("IF(I378="""", """", RANK(I378, FILTER(I:I, I:I&lt;&gt;""""), 1))
"),"")</f>
        <v/>
      </c>
    </row>
    <row r="383" spans="1:10" ht="22.5" customHeight="1">
      <c r="A383" s="68"/>
      <c r="B383" s="20"/>
      <c r="C383" s="13"/>
      <c r="D383" s="13"/>
      <c r="E383" s="66"/>
      <c r="F383" s="67"/>
      <c r="G383" s="67"/>
      <c r="H383" s="20"/>
      <c r="I383" s="27"/>
      <c r="J383" s="20" t="str">
        <f ca="1">IFERROR(__xludf.DUMMYFUNCTION("IF(I379="""", """", RANK(I379, FILTER(I:I, I:I&lt;&gt;""""), 1))
"),"")</f>
        <v/>
      </c>
    </row>
    <row r="384" spans="1:10" ht="22.5" customHeight="1">
      <c r="A384" s="65"/>
      <c r="B384" s="13"/>
      <c r="C384" s="20"/>
      <c r="D384" s="20"/>
      <c r="E384" s="69"/>
      <c r="F384" s="70"/>
      <c r="G384" s="70"/>
      <c r="H384" s="13"/>
      <c r="I384" s="14"/>
      <c r="J384" s="13" t="str">
        <f ca="1">IFERROR(__xludf.DUMMYFUNCTION("IF(I380="""", """", RANK(I380, FILTER(I:I, I:I&lt;&gt;""""), 1))
"),"")</f>
        <v/>
      </c>
    </row>
    <row r="385" spans="1:10" ht="22.5" customHeight="1">
      <c r="A385" s="68"/>
      <c r="B385" s="20"/>
      <c r="C385" s="13"/>
      <c r="D385" s="13"/>
      <c r="E385" s="66"/>
      <c r="F385" s="67"/>
      <c r="G385" s="67"/>
      <c r="H385" s="20"/>
      <c r="I385" s="27"/>
      <c r="J385" s="20" t="str">
        <f ca="1">IFERROR(__xludf.DUMMYFUNCTION("IF(I381="""", """", RANK(I381, FILTER(I:I, I:I&lt;&gt;""""), 1))
"),"")</f>
        <v/>
      </c>
    </row>
    <row r="386" spans="1:10" ht="22.5" customHeight="1">
      <c r="A386" s="65"/>
      <c r="B386" s="13"/>
      <c r="C386" s="20"/>
      <c r="D386" s="20"/>
      <c r="E386" s="69"/>
      <c r="F386" s="70"/>
      <c r="G386" s="70"/>
      <c r="H386" s="13"/>
      <c r="I386" s="14"/>
      <c r="J386" s="13" t="str">
        <f ca="1">IFERROR(__xludf.DUMMYFUNCTION("IF(I382="""", """", RANK(I382, FILTER(I:I, I:I&lt;&gt;""""), 1))
"),"")</f>
        <v/>
      </c>
    </row>
    <row r="387" spans="1:10" ht="22.5" customHeight="1">
      <c r="A387" s="68"/>
      <c r="B387" s="20"/>
      <c r="C387" s="13"/>
      <c r="D387" s="13"/>
      <c r="E387" s="66"/>
      <c r="F387" s="67"/>
      <c r="G387" s="67"/>
      <c r="H387" s="20"/>
      <c r="I387" s="27"/>
      <c r="J387" s="20" t="str">
        <f ca="1">IFERROR(__xludf.DUMMYFUNCTION("IF(I383="""", """", RANK(I383, FILTER(I:I, I:I&lt;&gt;""""), 1))
"),"")</f>
        <v/>
      </c>
    </row>
    <row r="388" spans="1:10" ht="22.5" customHeight="1">
      <c r="A388" s="65"/>
      <c r="B388" s="13"/>
      <c r="C388" s="20"/>
      <c r="D388" s="20"/>
      <c r="E388" s="69"/>
      <c r="F388" s="70"/>
      <c r="G388" s="70"/>
      <c r="H388" s="13"/>
      <c r="I388" s="14"/>
      <c r="J388" s="13" t="str">
        <f ca="1">IFERROR(__xludf.DUMMYFUNCTION("IF(I384="""", """", RANK(I384, FILTER(I:I, I:I&lt;&gt;""""), 1))
"),"")</f>
        <v/>
      </c>
    </row>
    <row r="389" spans="1:10" ht="22.5" customHeight="1">
      <c r="A389" s="68"/>
      <c r="B389" s="20"/>
      <c r="C389" s="13"/>
      <c r="D389" s="13"/>
      <c r="E389" s="66"/>
      <c r="F389" s="67"/>
      <c r="G389" s="67"/>
      <c r="H389" s="20"/>
      <c r="I389" s="27"/>
      <c r="J389" s="20" t="str">
        <f ca="1">IFERROR(__xludf.DUMMYFUNCTION("IF(I385="""", """", RANK(I385, FILTER(I:I, I:I&lt;&gt;""""), 1))
"),"")</f>
        <v/>
      </c>
    </row>
    <row r="390" spans="1:10" ht="22.5" customHeight="1">
      <c r="A390" s="65"/>
      <c r="B390" s="13"/>
      <c r="C390" s="20"/>
      <c r="D390" s="20"/>
      <c r="E390" s="69"/>
      <c r="F390" s="70"/>
      <c r="G390" s="70"/>
      <c r="H390" s="13"/>
      <c r="I390" s="14"/>
      <c r="J390" s="13" t="str">
        <f ca="1">IFERROR(__xludf.DUMMYFUNCTION("IF(I386="""", """", RANK(I386, FILTER(I:I, I:I&lt;&gt;""""), 1))
"),"")</f>
        <v/>
      </c>
    </row>
    <row r="391" spans="1:10" ht="22.5" customHeight="1">
      <c r="A391" s="68"/>
      <c r="B391" s="20"/>
      <c r="C391" s="13"/>
      <c r="D391" s="13"/>
      <c r="E391" s="66"/>
      <c r="F391" s="67"/>
      <c r="G391" s="67"/>
      <c r="H391" s="20"/>
      <c r="I391" s="27"/>
      <c r="J391" s="20" t="str">
        <f ca="1">IFERROR(__xludf.DUMMYFUNCTION("IF(I387="""", """", RANK(I387, FILTER(I:I, I:I&lt;&gt;""""), 1))
"),"")</f>
        <v/>
      </c>
    </row>
    <row r="392" spans="1:10" ht="22.5" customHeight="1">
      <c r="A392" s="65"/>
      <c r="B392" s="13"/>
      <c r="C392" s="20"/>
      <c r="D392" s="20"/>
      <c r="E392" s="69"/>
      <c r="F392" s="70"/>
      <c r="G392" s="70"/>
      <c r="H392" s="13"/>
      <c r="I392" s="14"/>
      <c r="J392" s="13" t="str">
        <f ca="1">IFERROR(__xludf.DUMMYFUNCTION("IF(I388="""", """", RANK(I388, FILTER(I:I, I:I&lt;&gt;""""), 1))
"),"")</f>
        <v/>
      </c>
    </row>
    <row r="393" spans="1:10" ht="22.5" customHeight="1">
      <c r="A393" s="68"/>
      <c r="B393" s="20"/>
      <c r="C393" s="13"/>
      <c r="D393" s="13"/>
      <c r="E393" s="66"/>
      <c r="F393" s="67"/>
      <c r="G393" s="67"/>
      <c r="H393" s="20"/>
      <c r="I393" s="27"/>
      <c r="J393" s="20" t="str">
        <f ca="1">IFERROR(__xludf.DUMMYFUNCTION("IF(I389="""", """", RANK(I389, FILTER(I:I, I:I&lt;&gt;""""), 1))
"),"")</f>
        <v/>
      </c>
    </row>
    <row r="394" spans="1:10" ht="22.5" customHeight="1">
      <c r="A394" s="65"/>
      <c r="B394" s="13"/>
      <c r="C394" s="20"/>
      <c r="D394" s="20"/>
      <c r="E394" s="69"/>
      <c r="F394" s="70"/>
      <c r="G394" s="70"/>
      <c r="H394" s="13"/>
      <c r="I394" s="14"/>
      <c r="J394" s="13" t="str">
        <f ca="1">IFERROR(__xludf.DUMMYFUNCTION("IF(I390="""", """", RANK(I390, FILTER(I:I, I:I&lt;&gt;""""), 1))
"),"")</f>
        <v/>
      </c>
    </row>
    <row r="395" spans="1:10" ht="22.5" customHeight="1">
      <c r="A395" s="68"/>
      <c r="B395" s="20"/>
      <c r="C395" s="13"/>
      <c r="D395" s="13"/>
      <c r="E395" s="66"/>
      <c r="F395" s="67"/>
      <c r="G395" s="67"/>
      <c r="H395" s="20"/>
      <c r="I395" s="27"/>
      <c r="J395" s="20" t="str">
        <f ca="1">IFERROR(__xludf.DUMMYFUNCTION("IF(I391="""", """", RANK(I391, FILTER(I:I, I:I&lt;&gt;""""), 1))
"),"")</f>
        <v/>
      </c>
    </row>
    <row r="396" spans="1:10" ht="22.5" customHeight="1">
      <c r="A396" s="65"/>
      <c r="B396" s="13"/>
      <c r="C396" s="20"/>
      <c r="D396" s="20"/>
      <c r="E396" s="69"/>
      <c r="F396" s="70"/>
      <c r="G396" s="70"/>
      <c r="H396" s="13"/>
      <c r="I396" s="14"/>
      <c r="J396" s="13" t="str">
        <f ca="1">IFERROR(__xludf.DUMMYFUNCTION("IF(I392="""", """", RANK(I392, FILTER(I:I, I:I&lt;&gt;""""), 1))
"),"")</f>
        <v/>
      </c>
    </row>
    <row r="397" spans="1:10" ht="22.5" customHeight="1">
      <c r="A397" s="68"/>
      <c r="B397" s="20"/>
      <c r="C397" s="13"/>
      <c r="D397" s="13"/>
      <c r="E397" s="66"/>
      <c r="F397" s="67"/>
      <c r="G397" s="67"/>
      <c r="H397" s="20"/>
      <c r="I397" s="27"/>
      <c r="J397" s="20" t="str">
        <f ca="1">IFERROR(__xludf.DUMMYFUNCTION("IF(I393="""", """", RANK(I393, FILTER(I:I, I:I&lt;&gt;""""), 1))
"),"")</f>
        <v/>
      </c>
    </row>
    <row r="398" spans="1:10" ht="22.5" customHeight="1">
      <c r="A398" s="65"/>
      <c r="B398" s="13"/>
      <c r="C398" s="20"/>
      <c r="D398" s="20"/>
      <c r="E398" s="69"/>
      <c r="F398" s="70"/>
      <c r="G398" s="70"/>
      <c r="H398" s="13"/>
      <c r="I398" s="14"/>
      <c r="J398" s="13" t="str">
        <f ca="1">IFERROR(__xludf.DUMMYFUNCTION("IF(I394="""", """", RANK(I394, FILTER(I:I, I:I&lt;&gt;""""), 1))
"),"")</f>
        <v/>
      </c>
    </row>
    <row r="399" spans="1:10" ht="22.5" customHeight="1">
      <c r="A399" s="68"/>
      <c r="B399" s="20"/>
      <c r="C399" s="13"/>
      <c r="D399" s="13"/>
      <c r="E399" s="66"/>
      <c r="F399" s="67"/>
      <c r="G399" s="67"/>
      <c r="H399" s="20"/>
      <c r="I399" s="27"/>
      <c r="J399" s="20" t="str">
        <f ca="1">IFERROR(__xludf.DUMMYFUNCTION("IF(I395="""", """", RANK(I395, FILTER(I:I, I:I&lt;&gt;""""), 1))
"),"")</f>
        <v/>
      </c>
    </row>
    <row r="400" spans="1:10" ht="22.5" customHeight="1">
      <c r="A400" s="65"/>
      <c r="B400" s="13"/>
      <c r="C400" s="20"/>
      <c r="D400" s="20"/>
      <c r="E400" s="69"/>
      <c r="F400" s="70"/>
      <c r="G400" s="70"/>
      <c r="H400" s="13"/>
      <c r="I400" s="14"/>
      <c r="J400" s="13" t="str">
        <f ca="1">IFERROR(__xludf.DUMMYFUNCTION("IF(I396="""", """", RANK(I396, FILTER(I:I, I:I&lt;&gt;""""), 1))
"),"")</f>
        <v/>
      </c>
    </row>
    <row r="401" spans="1:10" ht="22.5" customHeight="1">
      <c r="A401" s="68"/>
      <c r="B401" s="20"/>
      <c r="C401" s="13"/>
      <c r="D401" s="13"/>
      <c r="E401" s="66"/>
      <c r="F401" s="67"/>
      <c r="G401" s="67"/>
      <c r="H401" s="20"/>
      <c r="I401" s="27"/>
      <c r="J401" s="20" t="str">
        <f ca="1">IFERROR(__xludf.DUMMYFUNCTION("IF(I397="""", """", RANK(I397, FILTER(I:I, I:I&lt;&gt;""""), 1))
"),"")</f>
        <v/>
      </c>
    </row>
    <row r="402" spans="1:10" ht="22.5" customHeight="1">
      <c r="A402" s="65"/>
      <c r="B402" s="13"/>
      <c r="C402" s="20"/>
      <c r="D402" s="20"/>
      <c r="E402" s="69"/>
      <c r="F402" s="70"/>
      <c r="G402" s="70"/>
      <c r="H402" s="13"/>
      <c r="I402" s="14"/>
      <c r="J402" s="13" t="str">
        <f ca="1">IFERROR(__xludf.DUMMYFUNCTION("IF(I398="""", """", RANK(I398, FILTER(I:I, I:I&lt;&gt;""""), 1))
"),"")</f>
        <v/>
      </c>
    </row>
    <row r="403" spans="1:10" ht="22.5" customHeight="1">
      <c r="A403" s="68"/>
      <c r="B403" s="20"/>
      <c r="C403" s="13"/>
      <c r="D403" s="13"/>
      <c r="E403" s="66"/>
      <c r="F403" s="67"/>
      <c r="G403" s="67"/>
      <c r="H403" s="20"/>
      <c r="I403" s="27"/>
      <c r="J403" s="20" t="str">
        <f ca="1">IFERROR(__xludf.DUMMYFUNCTION("IF(I399="""", """", RANK(I399, FILTER(I:I, I:I&lt;&gt;""""), 1))
"),"")</f>
        <v/>
      </c>
    </row>
    <row r="404" spans="1:10" ht="22.5" customHeight="1">
      <c r="A404" s="65"/>
      <c r="B404" s="13"/>
      <c r="C404" s="20"/>
      <c r="D404" s="20"/>
      <c r="E404" s="69"/>
      <c r="F404" s="70"/>
      <c r="G404" s="70"/>
      <c r="H404" s="13"/>
      <c r="I404" s="14"/>
      <c r="J404" s="13" t="str">
        <f ca="1">IFERROR(__xludf.DUMMYFUNCTION("IF(I400="""", """", RANK(I400, FILTER(I:I, I:I&lt;&gt;""""), 1))
"),"")</f>
        <v/>
      </c>
    </row>
    <row r="405" spans="1:10" ht="22.5" customHeight="1">
      <c r="A405" s="68"/>
      <c r="B405" s="20"/>
      <c r="C405" s="13"/>
      <c r="D405" s="13"/>
      <c r="E405" s="66"/>
      <c r="F405" s="67"/>
      <c r="G405" s="67"/>
      <c r="H405" s="20"/>
      <c r="I405" s="27"/>
      <c r="J405" s="20" t="str">
        <f ca="1">IFERROR(__xludf.DUMMYFUNCTION("IF(I401="""", """", RANK(I401, FILTER(I:I, I:I&lt;&gt;""""), 1))
"),"")</f>
        <v/>
      </c>
    </row>
    <row r="406" spans="1:10" ht="22.5" customHeight="1">
      <c r="A406" s="65"/>
      <c r="B406" s="13"/>
      <c r="C406" s="20"/>
      <c r="D406" s="20"/>
      <c r="E406" s="69"/>
      <c r="F406" s="70"/>
      <c r="G406" s="70"/>
      <c r="H406" s="13"/>
      <c r="I406" s="14"/>
      <c r="J406" s="13" t="str">
        <f ca="1">IFERROR(__xludf.DUMMYFUNCTION("IF(I402="""", """", RANK(I402, FILTER(I:I, I:I&lt;&gt;""""), 1))
"),"")</f>
        <v/>
      </c>
    </row>
    <row r="407" spans="1:10" ht="22.5" customHeight="1">
      <c r="A407" s="68"/>
      <c r="B407" s="20"/>
      <c r="C407" s="13"/>
      <c r="D407" s="13"/>
      <c r="E407" s="66"/>
      <c r="F407" s="67"/>
      <c r="G407" s="67"/>
      <c r="H407" s="20"/>
      <c r="I407" s="27"/>
      <c r="J407" s="20" t="str">
        <f ca="1">IFERROR(__xludf.DUMMYFUNCTION("IF(I403="""", """", RANK(I403, FILTER(I:I, I:I&lt;&gt;""""), 1))
"),"")</f>
        <v/>
      </c>
    </row>
    <row r="408" spans="1:10" ht="22.5" customHeight="1">
      <c r="A408" s="65"/>
      <c r="B408" s="13"/>
      <c r="C408" s="20"/>
      <c r="D408" s="20"/>
      <c r="E408" s="69"/>
      <c r="F408" s="70"/>
      <c r="G408" s="70"/>
      <c r="H408" s="13"/>
      <c r="I408" s="14"/>
      <c r="J408" s="13" t="str">
        <f ca="1">IFERROR(__xludf.DUMMYFUNCTION("IF(I404="""", """", RANK(I404, FILTER(I:I, I:I&lt;&gt;""""), 1))
"),"")</f>
        <v/>
      </c>
    </row>
    <row r="409" spans="1:10" ht="22.5" customHeight="1">
      <c r="A409" s="68"/>
      <c r="B409" s="20"/>
      <c r="C409" s="13"/>
      <c r="D409" s="13"/>
      <c r="E409" s="66"/>
      <c r="F409" s="67"/>
      <c r="G409" s="67"/>
      <c r="H409" s="20"/>
      <c r="I409" s="27"/>
      <c r="J409" s="20" t="str">
        <f ca="1">IFERROR(__xludf.DUMMYFUNCTION("IF(I405="""", """", RANK(I405, FILTER(I:I, I:I&lt;&gt;""""), 1))
"),"")</f>
        <v/>
      </c>
    </row>
    <row r="410" spans="1:10" ht="22.5" customHeight="1">
      <c r="A410" s="65"/>
      <c r="B410" s="13"/>
      <c r="C410" s="20"/>
      <c r="D410" s="20"/>
      <c r="E410" s="69"/>
      <c r="F410" s="70"/>
      <c r="G410" s="70"/>
      <c r="H410" s="13"/>
      <c r="I410" s="14"/>
      <c r="J410" s="13" t="str">
        <f ca="1">IFERROR(__xludf.DUMMYFUNCTION("IF(I406="""", """", RANK(I406, FILTER(I:I, I:I&lt;&gt;""""), 1))
"),"")</f>
        <v/>
      </c>
    </row>
    <row r="411" spans="1:10" ht="22.5" customHeight="1">
      <c r="A411" s="68"/>
      <c r="B411" s="20"/>
      <c r="C411" s="13"/>
      <c r="D411" s="13"/>
      <c r="E411" s="66"/>
      <c r="F411" s="67"/>
      <c r="G411" s="67"/>
      <c r="H411" s="20"/>
      <c r="I411" s="27"/>
      <c r="J411" s="20" t="str">
        <f ca="1">IFERROR(__xludf.DUMMYFUNCTION("IF(I407="""", """", RANK(I407, FILTER(I:I, I:I&lt;&gt;""""), 1))
"),"")</f>
        <v/>
      </c>
    </row>
    <row r="412" spans="1:10" ht="22.5" customHeight="1">
      <c r="A412" s="65"/>
      <c r="B412" s="13"/>
      <c r="C412" s="20"/>
      <c r="D412" s="20"/>
      <c r="E412" s="69"/>
      <c r="F412" s="70"/>
      <c r="G412" s="70"/>
      <c r="H412" s="13"/>
      <c r="I412" s="14"/>
      <c r="J412" s="13" t="str">
        <f ca="1">IFERROR(__xludf.DUMMYFUNCTION("IF(I408="""", """", RANK(I408, FILTER(I:I, I:I&lt;&gt;""""), 1))
"),"")</f>
        <v/>
      </c>
    </row>
    <row r="413" spans="1:10" ht="22.5" customHeight="1">
      <c r="A413" s="68"/>
      <c r="B413" s="20"/>
      <c r="C413" s="13"/>
      <c r="D413" s="13"/>
      <c r="E413" s="66"/>
      <c r="F413" s="67"/>
      <c r="G413" s="67"/>
      <c r="H413" s="20"/>
      <c r="I413" s="27"/>
      <c r="J413" s="20" t="str">
        <f ca="1">IFERROR(__xludf.DUMMYFUNCTION("IF(I409="""", """", RANK(I409, FILTER(I:I, I:I&lt;&gt;""""), 1))
"),"")</f>
        <v/>
      </c>
    </row>
    <row r="414" spans="1:10" ht="22.5" customHeight="1">
      <c r="A414" s="65"/>
      <c r="B414" s="13"/>
      <c r="C414" s="20"/>
      <c r="D414" s="20"/>
      <c r="E414" s="69"/>
      <c r="F414" s="70"/>
      <c r="G414" s="70"/>
      <c r="H414" s="13"/>
      <c r="I414" s="14"/>
      <c r="J414" s="13" t="str">
        <f ca="1">IFERROR(__xludf.DUMMYFUNCTION("IF(I410="""", """", RANK(I410, FILTER(I:I, I:I&lt;&gt;""""), 1))
"),"")</f>
        <v/>
      </c>
    </row>
    <row r="415" spans="1:10" ht="22.5" customHeight="1">
      <c r="A415" s="68"/>
      <c r="B415" s="20"/>
      <c r="C415" s="13"/>
      <c r="D415" s="13"/>
      <c r="E415" s="66"/>
      <c r="F415" s="67"/>
      <c r="G415" s="67"/>
      <c r="H415" s="20"/>
      <c r="I415" s="27"/>
      <c r="J415" s="20" t="str">
        <f ca="1">IFERROR(__xludf.DUMMYFUNCTION("IF(I411="""", """", RANK(I411, FILTER(I:I, I:I&lt;&gt;""""), 1))
"),"")</f>
        <v/>
      </c>
    </row>
    <row r="416" spans="1:10" ht="22.5" customHeight="1">
      <c r="A416" s="65"/>
      <c r="B416" s="13"/>
      <c r="C416" s="20"/>
      <c r="D416" s="20"/>
      <c r="E416" s="69"/>
      <c r="F416" s="70"/>
      <c r="G416" s="70"/>
      <c r="H416" s="13"/>
      <c r="I416" s="14"/>
      <c r="J416" s="13" t="str">
        <f ca="1">IFERROR(__xludf.DUMMYFUNCTION("IF(I412="""", """", RANK(I412, FILTER(I:I, I:I&lt;&gt;""""), 1))
"),"")</f>
        <v/>
      </c>
    </row>
    <row r="417" spans="1:10" ht="22.5" customHeight="1">
      <c r="A417" s="68"/>
      <c r="B417" s="20"/>
      <c r="C417" s="13"/>
      <c r="D417" s="13"/>
      <c r="E417" s="66"/>
      <c r="F417" s="67"/>
      <c r="G417" s="67"/>
      <c r="H417" s="20"/>
      <c r="I417" s="27"/>
      <c r="J417" s="20" t="str">
        <f ca="1">IFERROR(__xludf.DUMMYFUNCTION("IF(I413="""", """", RANK(I413, FILTER(I:I, I:I&lt;&gt;""""), 1))
"),"")</f>
        <v/>
      </c>
    </row>
    <row r="418" spans="1:10" ht="22.5" customHeight="1">
      <c r="A418" s="65"/>
      <c r="B418" s="13"/>
      <c r="C418" s="20"/>
      <c r="D418" s="20"/>
      <c r="E418" s="69"/>
      <c r="F418" s="70"/>
      <c r="G418" s="70"/>
      <c r="H418" s="13"/>
      <c r="I418" s="14"/>
      <c r="J418" s="13" t="str">
        <f ca="1">IFERROR(__xludf.DUMMYFUNCTION("IF(I414="""", """", RANK(I414, FILTER(I:I, I:I&lt;&gt;""""), 1))
"),"")</f>
        <v/>
      </c>
    </row>
    <row r="419" spans="1:10" ht="22.5" customHeight="1">
      <c r="A419" s="68"/>
      <c r="B419" s="20"/>
      <c r="C419" s="13"/>
      <c r="D419" s="13"/>
      <c r="E419" s="66"/>
      <c r="F419" s="67"/>
      <c r="G419" s="67"/>
      <c r="H419" s="20"/>
      <c r="I419" s="27"/>
      <c r="J419" s="20" t="str">
        <f ca="1">IFERROR(__xludf.DUMMYFUNCTION("IF(I415="""", """", RANK(I415, FILTER(I:I, I:I&lt;&gt;""""), 1))
"),"")</f>
        <v/>
      </c>
    </row>
    <row r="420" spans="1:10" ht="22.5" customHeight="1">
      <c r="A420" s="65"/>
      <c r="B420" s="13"/>
      <c r="C420" s="20"/>
      <c r="D420" s="20"/>
      <c r="E420" s="69"/>
      <c r="F420" s="70"/>
      <c r="G420" s="70"/>
      <c r="H420" s="13"/>
      <c r="I420" s="14"/>
      <c r="J420" s="13" t="str">
        <f ca="1">IFERROR(__xludf.DUMMYFUNCTION("IF(I416="""", """", RANK(I416, FILTER(I:I, I:I&lt;&gt;""""), 1))
"),"")</f>
        <v/>
      </c>
    </row>
    <row r="421" spans="1:10" ht="22.5" customHeight="1">
      <c r="A421" s="68"/>
      <c r="B421" s="20"/>
      <c r="C421" s="13"/>
      <c r="D421" s="13"/>
      <c r="E421" s="66"/>
      <c r="F421" s="67"/>
      <c r="G421" s="67"/>
      <c r="H421" s="20"/>
      <c r="I421" s="27"/>
      <c r="J421" s="20" t="str">
        <f ca="1">IFERROR(__xludf.DUMMYFUNCTION("IF(I417="""", """", RANK(I417, FILTER(I:I, I:I&lt;&gt;""""), 1))
"),"")</f>
        <v/>
      </c>
    </row>
    <row r="422" spans="1:10" ht="22.5" customHeight="1">
      <c r="A422" s="65"/>
      <c r="B422" s="13"/>
      <c r="C422" s="20"/>
      <c r="D422" s="20"/>
      <c r="E422" s="69"/>
      <c r="F422" s="70"/>
      <c r="G422" s="70"/>
      <c r="H422" s="13"/>
      <c r="I422" s="14"/>
      <c r="J422" s="13" t="str">
        <f ca="1">IFERROR(__xludf.DUMMYFUNCTION("IF(I418="""", """", RANK(I418, FILTER(I:I, I:I&lt;&gt;""""), 1))
"),"")</f>
        <v/>
      </c>
    </row>
    <row r="423" spans="1:10" ht="22.5" customHeight="1">
      <c r="A423" s="68"/>
      <c r="B423" s="20"/>
      <c r="C423" s="13"/>
      <c r="D423" s="13"/>
      <c r="E423" s="66"/>
      <c r="F423" s="67"/>
      <c r="G423" s="67"/>
      <c r="H423" s="20"/>
      <c r="I423" s="27"/>
      <c r="J423" s="20" t="str">
        <f ca="1">IFERROR(__xludf.DUMMYFUNCTION("IF(I419="""", """", RANK(I419, FILTER(I:I, I:I&lt;&gt;""""), 1))
"),"")</f>
        <v/>
      </c>
    </row>
    <row r="424" spans="1:10" ht="22.5" customHeight="1">
      <c r="A424" s="65"/>
      <c r="B424" s="13"/>
      <c r="C424" s="20"/>
      <c r="D424" s="20"/>
      <c r="E424" s="69"/>
      <c r="F424" s="70"/>
      <c r="G424" s="70"/>
      <c r="H424" s="13"/>
      <c r="I424" s="14"/>
      <c r="J424" s="13" t="str">
        <f ca="1">IFERROR(__xludf.DUMMYFUNCTION("IF(I420="""", """", RANK(I420, FILTER(I:I, I:I&lt;&gt;""""), 1))
"),"")</f>
        <v/>
      </c>
    </row>
    <row r="425" spans="1:10" ht="22.5" customHeight="1">
      <c r="A425" s="68"/>
      <c r="B425" s="20"/>
      <c r="C425" s="13"/>
      <c r="D425" s="13"/>
      <c r="E425" s="66"/>
      <c r="F425" s="67"/>
      <c r="G425" s="67"/>
      <c r="H425" s="20"/>
      <c r="I425" s="27"/>
      <c r="J425" s="20" t="str">
        <f ca="1">IFERROR(__xludf.DUMMYFUNCTION("IF(I421="""", """", RANK(I421, FILTER(I:I, I:I&lt;&gt;""""), 1))
"),"")</f>
        <v/>
      </c>
    </row>
    <row r="426" spans="1:10" ht="22.5" customHeight="1">
      <c r="A426" s="65"/>
      <c r="B426" s="13"/>
      <c r="C426" s="20"/>
      <c r="D426" s="20"/>
      <c r="E426" s="69"/>
      <c r="F426" s="70"/>
      <c r="G426" s="70"/>
      <c r="H426" s="13"/>
      <c r="I426" s="14"/>
      <c r="J426" s="13" t="str">
        <f ca="1">IFERROR(__xludf.DUMMYFUNCTION("IF(I422="""", """", RANK(I422, FILTER(I:I, I:I&lt;&gt;""""), 1))
"),"")</f>
        <v/>
      </c>
    </row>
    <row r="427" spans="1:10" ht="22.5" customHeight="1">
      <c r="A427" s="68"/>
      <c r="B427" s="20"/>
      <c r="C427" s="13"/>
      <c r="D427" s="13"/>
      <c r="E427" s="66"/>
      <c r="F427" s="67"/>
      <c r="G427" s="67"/>
      <c r="H427" s="20"/>
      <c r="I427" s="27"/>
      <c r="J427" s="20" t="str">
        <f ca="1">IFERROR(__xludf.DUMMYFUNCTION("IF(I423="""", """", RANK(I423, FILTER(I:I, I:I&lt;&gt;""""), 1))
"),"")</f>
        <v/>
      </c>
    </row>
    <row r="428" spans="1:10" ht="22.5" customHeight="1">
      <c r="A428" s="65"/>
      <c r="B428" s="13"/>
      <c r="C428" s="20"/>
      <c r="D428" s="20"/>
      <c r="E428" s="69"/>
      <c r="F428" s="70"/>
      <c r="G428" s="70"/>
      <c r="H428" s="13"/>
      <c r="I428" s="14"/>
      <c r="J428" s="13" t="str">
        <f ca="1">IFERROR(__xludf.DUMMYFUNCTION("IF(I424="""", """", RANK(I424, FILTER(I:I, I:I&lt;&gt;""""), 1))
"),"")</f>
        <v/>
      </c>
    </row>
    <row r="429" spans="1:10" ht="22.5" customHeight="1">
      <c r="A429" s="68"/>
      <c r="B429" s="20"/>
      <c r="C429" s="13"/>
      <c r="D429" s="13"/>
      <c r="E429" s="66"/>
      <c r="F429" s="67"/>
      <c r="G429" s="67"/>
      <c r="H429" s="20"/>
      <c r="I429" s="27"/>
      <c r="J429" s="20" t="str">
        <f ca="1">IFERROR(__xludf.DUMMYFUNCTION("IF(I425="""", """", RANK(I425, FILTER(I:I, I:I&lt;&gt;""""), 1))
"),"")</f>
        <v/>
      </c>
    </row>
    <row r="430" spans="1:10" ht="22.5" customHeight="1">
      <c r="A430" s="65"/>
      <c r="B430" s="13"/>
      <c r="C430" s="20"/>
      <c r="D430" s="20"/>
      <c r="E430" s="69"/>
      <c r="F430" s="70"/>
      <c r="G430" s="70"/>
      <c r="H430" s="13"/>
      <c r="I430" s="14"/>
      <c r="J430" s="13" t="str">
        <f ca="1">IFERROR(__xludf.DUMMYFUNCTION("IF(I426="""", """", RANK(I426, FILTER(I:I, I:I&lt;&gt;""""), 1))
"),"")</f>
        <v/>
      </c>
    </row>
    <row r="431" spans="1:10" ht="22.5" customHeight="1">
      <c r="A431" s="68"/>
      <c r="B431" s="20"/>
      <c r="C431" s="13"/>
      <c r="D431" s="13"/>
      <c r="E431" s="66"/>
      <c r="F431" s="67"/>
      <c r="G431" s="67"/>
      <c r="H431" s="20"/>
      <c r="I431" s="27"/>
      <c r="J431" s="20" t="str">
        <f ca="1">IFERROR(__xludf.DUMMYFUNCTION("IF(I427="""", """", RANK(I427, FILTER(I:I, I:I&lt;&gt;""""), 1))
"),"")</f>
        <v/>
      </c>
    </row>
    <row r="432" spans="1:10" ht="22.5" customHeight="1">
      <c r="A432" s="65"/>
      <c r="B432" s="13"/>
      <c r="C432" s="20"/>
      <c r="D432" s="20"/>
      <c r="E432" s="69"/>
      <c r="F432" s="70"/>
      <c r="G432" s="70"/>
      <c r="H432" s="13"/>
      <c r="I432" s="14"/>
      <c r="J432" s="13" t="str">
        <f ca="1">IFERROR(__xludf.DUMMYFUNCTION("IF(I428="""", """", RANK(I428, FILTER(I:I, I:I&lt;&gt;""""), 1))
"),"")</f>
        <v/>
      </c>
    </row>
    <row r="433" spans="1:10" ht="22.5" customHeight="1">
      <c r="A433" s="68"/>
      <c r="B433" s="20"/>
      <c r="C433" s="13"/>
      <c r="D433" s="13"/>
      <c r="E433" s="66"/>
      <c r="F433" s="67"/>
      <c r="G433" s="67"/>
      <c r="H433" s="20"/>
      <c r="I433" s="27"/>
      <c r="J433" s="20" t="str">
        <f ca="1">IFERROR(__xludf.DUMMYFUNCTION("IF(I429="""", """", RANK(I429, FILTER(I:I, I:I&lt;&gt;""""), 1))
"),"")</f>
        <v/>
      </c>
    </row>
    <row r="434" spans="1:10" ht="22.5" customHeight="1">
      <c r="A434" s="65"/>
      <c r="B434" s="13"/>
      <c r="C434" s="20"/>
      <c r="D434" s="20"/>
      <c r="E434" s="69"/>
      <c r="F434" s="70"/>
      <c r="G434" s="70"/>
      <c r="H434" s="13"/>
      <c r="I434" s="14"/>
      <c r="J434" s="13" t="str">
        <f ca="1">IFERROR(__xludf.DUMMYFUNCTION("IF(I430="""", """", RANK(I430, FILTER(I:I, I:I&lt;&gt;""""), 1))
"),"")</f>
        <v/>
      </c>
    </row>
    <row r="435" spans="1:10" ht="22.5" customHeight="1">
      <c r="A435" s="68"/>
      <c r="B435" s="20"/>
      <c r="C435" s="13"/>
      <c r="D435" s="13"/>
      <c r="E435" s="66"/>
      <c r="F435" s="67"/>
      <c r="G435" s="67"/>
      <c r="H435" s="20"/>
      <c r="I435" s="27"/>
      <c r="J435" s="20" t="str">
        <f ca="1">IFERROR(__xludf.DUMMYFUNCTION("IF(I431="""", """", RANK(I431, FILTER(I:I, I:I&lt;&gt;""""), 1))
"),"")</f>
        <v/>
      </c>
    </row>
    <row r="436" spans="1:10" ht="22.5" customHeight="1">
      <c r="A436" s="65"/>
      <c r="B436" s="13"/>
      <c r="C436" s="20"/>
      <c r="D436" s="20"/>
      <c r="E436" s="69"/>
      <c r="F436" s="70"/>
      <c r="G436" s="70"/>
      <c r="H436" s="13"/>
      <c r="I436" s="14"/>
      <c r="J436" s="13" t="str">
        <f ca="1">IFERROR(__xludf.DUMMYFUNCTION("IF(I432="""", """", RANK(I432, FILTER(I:I, I:I&lt;&gt;""""), 1))
"),"")</f>
        <v/>
      </c>
    </row>
    <row r="437" spans="1:10" ht="22.5" customHeight="1">
      <c r="A437" s="68"/>
      <c r="B437" s="20"/>
      <c r="C437" s="13"/>
      <c r="D437" s="13"/>
      <c r="E437" s="66"/>
      <c r="F437" s="67"/>
      <c r="G437" s="67"/>
      <c r="H437" s="20"/>
      <c r="I437" s="27"/>
      <c r="J437" s="20" t="str">
        <f ca="1">IFERROR(__xludf.DUMMYFUNCTION("IF(I433="""", """", RANK(I433, FILTER(I:I, I:I&lt;&gt;""""), 1))
"),"")</f>
        <v/>
      </c>
    </row>
    <row r="438" spans="1:10" ht="22.5" customHeight="1">
      <c r="A438" s="65"/>
      <c r="B438" s="13"/>
      <c r="C438" s="20"/>
      <c r="D438" s="20"/>
      <c r="E438" s="69"/>
      <c r="F438" s="70"/>
      <c r="G438" s="70"/>
      <c r="H438" s="13"/>
      <c r="I438" s="14"/>
      <c r="J438" s="13" t="str">
        <f ca="1">IFERROR(__xludf.DUMMYFUNCTION("IF(I434="""", """", RANK(I434, FILTER(I:I, I:I&lt;&gt;""""), 1))
"),"")</f>
        <v/>
      </c>
    </row>
    <row r="439" spans="1:10" ht="22.5" customHeight="1">
      <c r="A439" s="68"/>
      <c r="B439" s="20"/>
      <c r="C439" s="13"/>
      <c r="D439" s="13"/>
      <c r="E439" s="66"/>
      <c r="F439" s="67"/>
      <c r="G439" s="67"/>
      <c r="H439" s="20"/>
      <c r="I439" s="27"/>
      <c r="J439" s="20" t="str">
        <f ca="1">IFERROR(__xludf.DUMMYFUNCTION("IF(I435="""", """", RANK(I435, FILTER(I:I, I:I&lt;&gt;""""), 1))
"),"")</f>
        <v/>
      </c>
    </row>
    <row r="440" spans="1:10" ht="22.5" customHeight="1">
      <c r="A440" s="65"/>
      <c r="B440" s="13"/>
      <c r="C440" s="20"/>
      <c r="D440" s="20"/>
      <c r="E440" s="69"/>
      <c r="F440" s="70"/>
      <c r="G440" s="70"/>
      <c r="H440" s="13"/>
      <c r="I440" s="14"/>
      <c r="J440" s="13" t="str">
        <f ca="1">IFERROR(__xludf.DUMMYFUNCTION("IF(I436="""", """", RANK(I436, FILTER(I:I, I:I&lt;&gt;""""), 1))
"),"")</f>
        <v/>
      </c>
    </row>
    <row r="441" spans="1:10" ht="22.5" customHeight="1">
      <c r="A441" s="68"/>
      <c r="B441" s="20"/>
      <c r="C441" s="13"/>
      <c r="D441" s="13"/>
      <c r="E441" s="66"/>
      <c r="F441" s="67"/>
      <c r="G441" s="67"/>
      <c r="H441" s="20"/>
      <c r="I441" s="27"/>
      <c r="J441" s="20" t="str">
        <f ca="1">IFERROR(__xludf.DUMMYFUNCTION("IF(I437="""", """", RANK(I437, FILTER(I:I, I:I&lt;&gt;""""), 1))
"),"")</f>
        <v/>
      </c>
    </row>
    <row r="442" spans="1:10" ht="22.5" customHeight="1">
      <c r="A442" s="65"/>
      <c r="B442" s="13"/>
      <c r="C442" s="20"/>
      <c r="D442" s="20"/>
      <c r="E442" s="69"/>
      <c r="F442" s="70"/>
      <c r="G442" s="70"/>
      <c r="H442" s="13"/>
      <c r="I442" s="14"/>
      <c r="J442" s="13" t="str">
        <f ca="1">IFERROR(__xludf.DUMMYFUNCTION("IF(I438="""", """", RANK(I438, FILTER(I:I, I:I&lt;&gt;""""), 1))
"),"")</f>
        <v/>
      </c>
    </row>
    <row r="443" spans="1:10" ht="22.5" customHeight="1">
      <c r="A443" s="68"/>
      <c r="B443" s="20"/>
      <c r="C443" s="13"/>
      <c r="D443" s="13"/>
      <c r="E443" s="66"/>
      <c r="F443" s="67"/>
      <c r="G443" s="67"/>
      <c r="H443" s="20"/>
      <c r="I443" s="27"/>
      <c r="J443" s="20" t="str">
        <f ca="1">IFERROR(__xludf.DUMMYFUNCTION("IF(I439="""", """", RANK(I439, FILTER(I:I, I:I&lt;&gt;""""), 1))
"),"")</f>
        <v/>
      </c>
    </row>
    <row r="444" spans="1:10" ht="22.5" customHeight="1">
      <c r="A444" s="65"/>
      <c r="B444" s="13"/>
      <c r="C444" s="20"/>
      <c r="D444" s="20"/>
      <c r="E444" s="69"/>
      <c r="F444" s="70"/>
      <c r="G444" s="70"/>
      <c r="H444" s="13"/>
      <c r="I444" s="14"/>
      <c r="J444" s="13" t="str">
        <f ca="1">IFERROR(__xludf.DUMMYFUNCTION("IF(I440="""", """", RANK(I440, FILTER(I:I, I:I&lt;&gt;""""), 1))
"),"")</f>
        <v/>
      </c>
    </row>
    <row r="445" spans="1:10" ht="22.5" customHeight="1">
      <c r="A445" s="68"/>
      <c r="B445" s="20"/>
      <c r="C445" s="13"/>
      <c r="D445" s="13"/>
      <c r="E445" s="66"/>
      <c r="F445" s="67"/>
      <c r="G445" s="67"/>
      <c r="H445" s="20"/>
      <c r="I445" s="27"/>
      <c r="J445" s="20" t="str">
        <f ca="1">IFERROR(__xludf.DUMMYFUNCTION("IF(I441="""", """", RANK(I441, FILTER(I:I, I:I&lt;&gt;""""), 1))
"),"")</f>
        <v/>
      </c>
    </row>
    <row r="446" spans="1:10" ht="22.5" customHeight="1">
      <c r="A446" s="65"/>
      <c r="B446" s="13"/>
      <c r="C446" s="20"/>
      <c r="D446" s="20"/>
      <c r="E446" s="69"/>
      <c r="F446" s="70"/>
      <c r="G446" s="70"/>
      <c r="H446" s="13"/>
      <c r="I446" s="14"/>
      <c r="J446" s="13" t="str">
        <f ca="1">IFERROR(__xludf.DUMMYFUNCTION("IF(I442="""", """", RANK(I442, FILTER(I:I, I:I&lt;&gt;""""), 1))
"),"")</f>
        <v/>
      </c>
    </row>
    <row r="447" spans="1:10" ht="22.5" customHeight="1">
      <c r="A447" s="68"/>
      <c r="B447" s="20"/>
      <c r="C447" s="13"/>
      <c r="D447" s="13"/>
      <c r="E447" s="66"/>
      <c r="F447" s="67"/>
      <c r="G447" s="67"/>
      <c r="H447" s="20"/>
      <c r="I447" s="27"/>
      <c r="J447" s="20" t="str">
        <f ca="1">IFERROR(__xludf.DUMMYFUNCTION("IF(I443="""", """", RANK(I443, FILTER(I:I, I:I&lt;&gt;""""), 1))
"),"")</f>
        <v/>
      </c>
    </row>
    <row r="448" spans="1:10" ht="22.5" customHeight="1">
      <c r="A448" s="65"/>
      <c r="B448" s="13"/>
      <c r="C448" s="20"/>
      <c r="D448" s="20"/>
      <c r="E448" s="69"/>
      <c r="F448" s="70"/>
      <c r="G448" s="70"/>
      <c r="H448" s="13"/>
      <c r="I448" s="14"/>
      <c r="J448" s="13" t="str">
        <f ca="1">IFERROR(__xludf.DUMMYFUNCTION("IF(I444="""", """", RANK(I444, FILTER(I:I, I:I&lt;&gt;""""), 1))
"),"")</f>
        <v/>
      </c>
    </row>
    <row r="449" spans="1:10" ht="22.5" customHeight="1">
      <c r="A449" s="68"/>
      <c r="B449" s="20"/>
      <c r="C449" s="13"/>
      <c r="D449" s="13"/>
      <c r="E449" s="66"/>
      <c r="F449" s="67"/>
      <c r="G449" s="67"/>
      <c r="H449" s="20"/>
      <c r="I449" s="27"/>
      <c r="J449" s="20" t="str">
        <f ca="1">IFERROR(__xludf.DUMMYFUNCTION("IF(I445="""", """", RANK(I445, FILTER(I:I, I:I&lt;&gt;""""), 1))
"),"")</f>
        <v/>
      </c>
    </row>
    <row r="450" spans="1:10" ht="22.5" customHeight="1">
      <c r="A450" s="65"/>
      <c r="B450" s="13"/>
      <c r="C450" s="20"/>
      <c r="D450" s="20"/>
      <c r="E450" s="69"/>
      <c r="F450" s="70"/>
      <c r="G450" s="70"/>
      <c r="H450" s="13"/>
      <c r="I450" s="14"/>
      <c r="J450" s="13" t="str">
        <f ca="1">IFERROR(__xludf.DUMMYFUNCTION("IF(I446="""", """", RANK(I446, FILTER(I:I, I:I&lt;&gt;""""), 1))
"),"")</f>
        <v/>
      </c>
    </row>
    <row r="451" spans="1:10" ht="22.5" customHeight="1">
      <c r="A451" s="68"/>
      <c r="B451" s="20"/>
      <c r="C451" s="13"/>
      <c r="D451" s="13"/>
      <c r="E451" s="66"/>
      <c r="F451" s="67"/>
      <c r="G451" s="67"/>
      <c r="H451" s="20"/>
      <c r="I451" s="27"/>
      <c r="J451" s="20" t="str">
        <f ca="1">IFERROR(__xludf.DUMMYFUNCTION("IF(I447="""", """", RANK(I447, FILTER(I:I, I:I&lt;&gt;""""), 1))
"),"")</f>
        <v/>
      </c>
    </row>
    <row r="452" spans="1:10" ht="22.5" customHeight="1">
      <c r="A452" s="65"/>
      <c r="B452" s="13"/>
      <c r="C452" s="20"/>
      <c r="D452" s="20"/>
      <c r="E452" s="69"/>
      <c r="F452" s="70"/>
      <c r="G452" s="70"/>
      <c r="H452" s="13"/>
      <c r="I452" s="14"/>
      <c r="J452" s="13" t="str">
        <f ca="1">IFERROR(__xludf.DUMMYFUNCTION("IF(I448="""", """", RANK(I448, FILTER(I:I, I:I&lt;&gt;""""), 1))
"),"")</f>
        <v/>
      </c>
    </row>
    <row r="453" spans="1:10" ht="22.5" customHeight="1">
      <c r="A453" s="68"/>
      <c r="B453" s="20"/>
      <c r="C453" s="13"/>
      <c r="D453" s="13"/>
      <c r="E453" s="66"/>
      <c r="F453" s="67"/>
      <c r="G453" s="67"/>
      <c r="H453" s="20"/>
      <c r="I453" s="27"/>
      <c r="J453" s="20" t="str">
        <f ca="1">IFERROR(__xludf.DUMMYFUNCTION("IF(I449="""", """", RANK(I449, FILTER(I:I, I:I&lt;&gt;""""), 1))
"),"")</f>
        <v/>
      </c>
    </row>
    <row r="454" spans="1:10" ht="22.5" customHeight="1">
      <c r="A454" s="65"/>
      <c r="B454" s="13"/>
      <c r="C454" s="20"/>
      <c r="D454" s="20"/>
      <c r="E454" s="69"/>
      <c r="F454" s="70"/>
      <c r="G454" s="70"/>
      <c r="H454" s="13"/>
      <c r="I454" s="14"/>
      <c r="J454" s="13" t="str">
        <f ca="1">IFERROR(__xludf.DUMMYFUNCTION("IF(I450="""", """", RANK(I450, FILTER(I:I, I:I&lt;&gt;""""), 1))
"),"")</f>
        <v/>
      </c>
    </row>
    <row r="455" spans="1:10" ht="22.5" customHeight="1">
      <c r="A455" s="68"/>
      <c r="B455" s="20"/>
      <c r="C455" s="13"/>
      <c r="D455" s="13"/>
      <c r="E455" s="66"/>
      <c r="F455" s="67"/>
      <c r="G455" s="67"/>
      <c r="H455" s="20"/>
      <c r="I455" s="27"/>
      <c r="J455" s="20" t="str">
        <f ca="1">IFERROR(__xludf.DUMMYFUNCTION("IF(I451="""", """", RANK(I451, FILTER(I:I, I:I&lt;&gt;""""), 1))
"),"")</f>
        <v/>
      </c>
    </row>
    <row r="456" spans="1:10" ht="22.5" customHeight="1">
      <c r="A456" s="65"/>
      <c r="B456" s="13"/>
      <c r="C456" s="20"/>
      <c r="D456" s="20"/>
      <c r="E456" s="69"/>
      <c r="F456" s="70"/>
      <c r="G456" s="70"/>
      <c r="H456" s="13"/>
      <c r="I456" s="14"/>
      <c r="J456" s="13" t="str">
        <f ca="1">IFERROR(__xludf.DUMMYFUNCTION("IF(I452="""", """", RANK(I452, FILTER(I:I, I:I&lt;&gt;""""), 1))
"),"")</f>
        <v/>
      </c>
    </row>
    <row r="457" spans="1:10" ht="22.5" customHeight="1">
      <c r="A457" s="68"/>
      <c r="B457" s="20"/>
      <c r="C457" s="13"/>
      <c r="D457" s="13"/>
      <c r="E457" s="66"/>
      <c r="F457" s="67"/>
      <c r="G457" s="67"/>
      <c r="H457" s="20"/>
      <c r="I457" s="27"/>
      <c r="J457" s="20" t="str">
        <f ca="1">IFERROR(__xludf.DUMMYFUNCTION("IF(I453="""", """", RANK(I453, FILTER(I:I, I:I&lt;&gt;""""), 1))
"),"")</f>
        <v/>
      </c>
    </row>
    <row r="458" spans="1:10" ht="22.5" customHeight="1">
      <c r="A458" s="65"/>
      <c r="B458" s="13"/>
      <c r="C458" s="20"/>
      <c r="D458" s="20"/>
      <c r="E458" s="69"/>
      <c r="F458" s="70"/>
      <c r="G458" s="70"/>
      <c r="H458" s="13"/>
      <c r="I458" s="14"/>
      <c r="J458" s="13" t="str">
        <f ca="1">IFERROR(__xludf.DUMMYFUNCTION("IF(I454="""", """", RANK(I454, FILTER(I:I, I:I&lt;&gt;""""), 1))
"),"")</f>
        <v/>
      </c>
    </row>
    <row r="459" spans="1:10" ht="22.5" customHeight="1">
      <c r="A459" s="68"/>
      <c r="B459" s="20"/>
      <c r="C459" s="13"/>
      <c r="D459" s="13"/>
      <c r="E459" s="66"/>
      <c r="F459" s="67"/>
      <c r="G459" s="67"/>
      <c r="H459" s="20"/>
      <c r="I459" s="27"/>
      <c r="J459" s="20" t="str">
        <f ca="1">IFERROR(__xludf.DUMMYFUNCTION("IF(I455="""", """", RANK(I455, FILTER(I:I, I:I&lt;&gt;""""), 1))
"),"")</f>
        <v/>
      </c>
    </row>
    <row r="460" spans="1:10" ht="22.5" customHeight="1">
      <c r="A460" s="65"/>
      <c r="B460" s="13"/>
      <c r="C460" s="20"/>
      <c r="D460" s="20"/>
      <c r="E460" s="69"/>
      <c r="F460" s="70"/>
      <c r="G460" s="70"/>
      <c r="H460" s="13"/>
      <c r="I460" s="14"/>
      <c r="J460" s="13" t="str">
        <f ca="1">IFERROR(__xludf.DUMMYFUNCTION("IF(I456="""", """", RANK(I456, FILTER(I:I, I:I&lt;&gt;""""), 1))
"),"")</f>
        <v/>
      </c>
    </row>
    <row r="461" spans="1:10" ht="22.5" customHeight="1">
      <c r="A461" s="68"/>
      <c r="B461" s="20"/>
      <c r="C461" s="13"/>
      <c r="D461" s="13"/>
      <c r="E461" s="66"/>
      <c r="F461" s="67"/>
      <c r="G461" s="67"/>
      <c r="H461" s="20"/>
      <c r="I461" s="27"/>
      <c r="J461" s="20" t="str">
        <f ca="1">IFERROR(__xludf.DUMMYFUNCTION("IF(I457="""", """", RANK(I457, FILTER(I:I, I:I&lt;&gt;""""), 1))
"),"")</f>
        <v/>
      </c>
    </row>
    <row r="462" spans="1:10" ht="22.5" customHeight="1">
      <c r="A462" s="65"/>
      <c r="B462" s="13"/>
      <c r="C462" s="20"/>
      <c r="D462" s="20"/>
      <c r="E462" s="69"/>
      <c r="F462" s="70"/>
      <c r="G462" s="70"/>
      <c r="H462" s="13"/>
      <c r="I462" s="14"/>
      <c r="J462" s="13" t="str">
        <f ca="1">IFERROR(__xludf.DUMMYFUNCTION("IF(I458="""", """", RANK(I458, FILTER(I:I, I:I&lt;&gt;""""), 1))
"),"")</f>
        <v/>
      </c>
    </row>
    <row r="463" spans="1:10" ht="22.5" customHeight="1">
      <c r="A463" s="68"/>
      <c r="B463" s="20"/>
      <c r="C463" s="13"/>
      <c r="D463" s="13"/>
      <c r="E463" s="66"/>
      <c r="F463" s="67"/>
      <c r="G463" s="67"/>
      <c r="H463" s="20"/>
      <c r="I463" s="27"/>
      <c r="J463" s="20" t="str">
        <f ca="1">IFERROR(__xludf.DUMMYFUNCTION("IF(I459="""", """", RANK(I459, FILTER(I:I, I:I&lt;&gt;""""), 1))
"),"")</f>
        <v/>
      </c>
    </row>
    <row r="464" spans="1:10" ht="22.5" customHeight="1">
      <c r="A464" s="65"/>
      <c r="B464" s="13"/>
      <c r="C464" s="20"/>
      <c r="D464" s="20"/>
      <c r="E464" s="69"/>
      <c r="F464" s="70"/>
      <c r="G464" s="70"/>
      <c r="H464" s="13"/>
      <c r="I464" s="14"/>
      <c r="J464" s="13" t="str">
        <f ca="1">IFERROR(__xludf.DUMMYFUNCTION("IF(I460="""", """", RANK(I460, FILTER(I:I, I:I&lt;&gt;""""), 1))
"),"")</f>
        <v/>
      </c>
    </row>
    <row r="465" spans="1:10" ht="22.5" customHeight="1">
      <c r="A465" s="68"/>
      <c r="B465" s="20"/>
      <c r="C465" s="13"/>
      <c r="D465" s="13"/>
      <c r="E465" s="66"/>
      <c r="F465" s="67"/>
      <c r="G465" s="67"/>
      <c r="H465" s="20"/>
      <c r="I465" s="27"/>
      <c r="J465" s="20" t="str">
        <f ca="1">IFERROR(__xludf.DUMMYFUNCTION("IF(I461="""", """", RANK(I461, FILTER(I:I, I:I&lt;&gt;""""), 1))
"),"")</f>
        <v/>
      </c>
    </row>
    <row r="466" spans="1:10" ht="22.5" customHeight="1">
      <c r="A466" s="65"/>
      <c r="B466" s="13"/>
      <c r="C466" s="20"/>
      <c r="D466" s="20"/>
      <c r="E466" s="69"/>
      <c r="F466" s="70"/>
      <c r="G466" s="70"/>
      <c r="H466" s="13"/>
      <c r="I466" s="14"/>
      <c r="J466" s="13" t="str">
        <f ca="1">IFERROR(__xludf.DUMMYFUNCTION("IF(I462="""", """", RANK(I462, FILTER(I:I, I:I&lt;&gt;""""), 1))
"),"")</f>
        <v/>
      </c>
    </row>
    <row r="467" spans="1:10" ht="22.5" customHeight="1">
      <c r="A467" s="68"/>
      <c r="B467" s="20"/>
      <c r="C467" s="13"/>
      <c r="D467" s="13"/>
      <c r="E467" s="66"/>
      <c r="F467" s="67"/>
      <c r="G467" s="67"/>
      <c r="H467" s="20"/>
      <c r="I467" s="27"/>
      <c r="J467" s="20" t="str">
        <f ca="1">IFERROR(__xludf.DUMMYFUNCTION("IF(I463="""", """", RANK(I463, FILTER(I:I, I:I&lt;&gt;""""), 1))
"),"")</f>
        <v/>
      </c>
    </row>
    <row r="468" spans="1:10" ht="22.5" customHeight="1">
      <c r="A468" s="65"/>
      <c r="B468" s="13"/>
      <c r="C468" s="20"/>
      <c r="D468" s="20"/>
      <c r="E468" s="69"/>
      <c r="F468" s="70"/>
      <c r="G468" s="70"/>
      <c r="H468" s="13"/>
      <c r="I468" s="14"/>
      <c r="J468" s="13" t="str">
        <f ca="1">IFERROR(__xludf.DUMMYFUNCTION("IF(I464="""", """", RANK(I464, FILTER(I:I, I:I&lt;&gt;""""), 1))
"),"")</f>
        <v/>
      </c>
    </row>
    <row r="469" spans="1:10" ht="22.5" customHeight="1">
      <c r="A469" s="68"/>
      <c r="B469" s="20"/>
      <c r="C469" s="13"/>
      <c r="D469" s="13"/>
      <c r="E469" s="66"/>
      <c r="F469" s="67"/>
      <c r="G469" s="67"/>
      <c r="H469" s="20"/>
      <c r="I469" s="27"/>
      <c r="J469" s="20" t="str">
        <f ca="1">IFERROR(__xludf.DUMMYFUNCTION("IF(I465="""", """", RANK(I465, FILTER(I:I, I:I&lt;&gt;""""), 1))
"),"")</f>
        <v/>
      </c>
    </row>
    <row r="470" spans="1:10" ht="22.5" customHeight="1">
      <c r="A470" s="65"/>
      <c r="B470" s="13"/>
      <c r="C470" s="20"/>
      <c r="D470" s="20"/>
      <c r="E470" s="69"/>
      <c r="F470" s="70"/>
      <c r="G470" s="70"/>
      <c r="H470" s="13"/>
      <c r="I470" s="14"/>
      <c r="J470" s="13" t="str">
        <f ca="1">IFERROR(__xludf.DUMMYFUNCTION("IF(I466="""", """", RANK(I466, FILTER(I:I, I:I&lt;&gt;""""), 1))
"),"")</f>
        <v/>
      </c>
    </row>
    <row r="471" spans="1:10" ht="22.5" customHeight="1">
      <c r="A471" s="68"/>
      <c r="B471" s="20"/>
      <c r="C471" s="13"/>
      <c r="D471" s="13"/>
      <c r="E471" s="66"/>
      <c r="F471" s="67"/>
      <c r="G471" s="67"/>
      <c r="H471" s="20"/>
      <c r="I471" s="27"/>
      <c r="J471" s="20" t="str">
        <f ca="1">IFERROR(__xludf.DUMMYFUNCTION("IF(I467="""", """", RANK(I467, FILTER(I:I, I:I&lt;&gt;""""), 1))
"),"")</f>
        <v/>
      </c>
    </row>
    <row r="472" spans="1:10" ht="22.5" customHeight="1">
      <c r="A472" s="65"/>
      <c r="B472" s="13"/>
      <c r="C472" s="20"/>
      <c r="D472" s="20"/>
      <c r="E472" s="69"/>
      <c r="F472" s="70"/>
      <c r="G472" s="70"/>
      <c r="H472" s="13"/>
      <c r="I472" s="14"/>
      <c r="J472" s="13" t="str">
        <f ca="1">IFERROR(__xludf.DUMMYFUNCTION("IF(I468="""", """", RANK(I468, FILTER(I:I, I:I&lt;&gt;""""), 1))
"),"")</f>
        <v/>
      </c>
    </row>
    <row r="473" spans="1:10" ht="22.5" customHeight="1">
      <c r="A473" s="68"/>
      <c r="B473" s="20"/>
      <c r="C473" s="13"/>
      <c r="D473" s="13"/>
      <c r="E473" s="66"/>
      <c r="F473" s="67"/>
      <c r="G473" s="67"/>
      <c r="H473" s="20"/>
      <c r="I473" s="27"/>
      <c r="J473" s="20" t="str">
        <f ca="1">IFERROR(__xludf.DUMMYFUNCTION("IF(I469="""", """", RANK(I469, FILTER(I:I, I:I&lt;&gt;""""), 1))
"),"")</f>
        <v/>
      </c>
    </row>
    <row r="474" spans="1:10" ht="22.5" customHeight="1">
      <c r="A474" s="65"/>
      <c r="B474" s="13"/>
      <c r="C474" s="20"/>
      <c r="D474" s="20"/>
      <c r="E474" s="69"/>
      <c r="F474" s="70"/>
      <c r="G474" s="70"/>
      <c r="H474" s="13"/>
      <c r="I474" s="14"/>
      <c r="J474" s="13" t="str">
        <f ca="1">IFERROR(__xludf.DUMMYFUNCTION("IF(I470="""", """", RANK(I470, FILTER(I:I, I:I&lt;&gt;""""), 1))
"),"")</f>
        <v/>
      </c>
    </row>
    <row r="475" spans="1:10" ht="22.5" customHeight="1">
      <c r="A475" s="68"/>
      <c r="B475" s="20"/>
      <c r="C475" s="13"/>
      <c r="D475" s="13"/>
      <c r="E475" s="66"/>
      <c r="F475" s="67"/>
      <c r="G475" s="67"/>
      <c r="H475" s="20"/>
      <c r="I475" s="27"/>
      <c r="J475" s="20" t="str">
        <f ca="1">IFERROR(__xludf.DUMMYFUNCTION("IF(I471="""", """", RANK(I471, FILTER(I:I, I:I&lt;&gt;""""), 1))
"),"")</f>
        <v/>
      </c>
    </row>
    <row r="476" spans="1:10" ht="22.5" customHeight="1">
      <c r="A476" s="65"/>
      <c r="B476" s="13"/>
      <c r="C476" s="20"/>
      <c r="D476" s="20"/>
      <c r="E476" s="69"/>
      <c r="F476" s="70"/>
      <c r="G476" s="70"/>
      <c r="H476" s="13"/>
      <c r="I476" s="14"/>
      <c r="J476" s="13" t="str">
        <f ca="1">IFERROR(__xludf.DUMMYFUNCTION("IF(I472="""", """", RANK(I472, FILTER(I:I, I:I&lt;&gt;""""), 1))
"),"")</f>
        <v/>
      </c>
    </row>
    <row r="477" spans="1:10" ht="22.5" customHeight="1">
      <c r="A477" s="68"/>
      <c r="B477" s="20"/>
      <c r="C477" s="13"/>
      <c r="D477" s="13"/>
      <c r="E477" s="66"/>
      <c r="F477" s="67"/>
      <c r="G477" s="67"/>
      <c r="H477" s="20"/>
      <c r="I477" s="27"/>
      <c r="J477" s="20" t="str">
        <f ca="1">IFERROR(__xludf.DUMMYFUNCTION("IF(I473="""", """", RANK(I473, FILTER(I:I, I:I&lt;&gt;""""), 1))
"),"")</f>
        <v/>
      </c>
    </row>
    <row r="478" spans="1:10" ht="22.5" customHeight="1">
      <c r="A478" s="65"/>
      <c r="B478" s="13"/>
      <c r="C478" s="20"/>
      <c r="D478" s="20"/>
      <c r="E478" s="69"/>
      <c r="F478" s="70"/>
      <c r="G478" s="70"/>
      <c r="H478" s="13"/>
      <c r="I478" s="14"/>
      <c r="J478" s="13" t="str">
        <f ca="1">IFERROR(__xludf.DUMMYFUNCTION("IF(I474="""", """", RANK(I474, FILTER(I:I, I:I&lt;&gt;""""), 1))
"),"")</f>
        <v/>
      </c>
    </row>
    <row r="479" spans="1:10" ht="22.5" customHeight="1">
      <c r="A479" s="68"/>
      <c r="B479" s="20"/>
      <c r="C479" s="13"/>
      <c r="D479" s="13"/>
      <c r="E479" s="66"/>
      <c r="F479" s="67"/>
      <c r="G479" s="67"/>
      <c r="H479" s="20"/>
      <c r="I479" s="27"/>
      <c r="J479" s="20" t="str">
        <f ca="1">IFERROR(__xludf.DUMMYFUNCTION("IF(I475="""", """", RANK(I475, FILTER(I:I, I:I&lt;&gt;""""), 1))
"),"")</f>
        <v/>
      </c>
    </row>
    <row r="480" spans="1:10" ht="22.5" customHeight="1">
      <c r="A480" s="65"/>
      <c r="B480" s="13"/>
      <c r="C480" s="20"/>
      <c r="D480" s="20"/>
      <c r="E480" s="69"/>
      <c r="F480" s="70"/>
      <c r="G480" s="70"/>
      <c r="H480" s="13"/>
      <c r="I480" s="14"/>
      <c r="J480" s="13" t="str">
        <f ca="1">IFERROR(__xludf.DUMMYFUNCTION("IF(I476="""", """", RANK(I476, FILTER(I:I, I:I&lt;&gt;""""), 1))
"),"")</f>
        <v/>
      </c>
    </row>
    <row r="481" spans="1:10" ht="22.5" customHeight="1">
      <c r="A481" s="68"/>
      <c r="B481" s="20"/>
      <c r="C481" s="13"/>
      <c r="D481" s="13"/>
      <c r="E481" s="66"/>
      <c r="F481" s="67"/>
      <c r="G481" s="67"/>
      <c r="H481" s="20"/>
      <c r="I481" s="27"/>
      <c r="J481" s="20" t="str">
        <f ca="1">IFERROR(__xludf.DUMMYFUNCTION("IF(I477="""", """", RANK(I477, FILTER(I:I, I:I&lt;&gt;""""), 1))
"),"")</f>
        <v/>
      </c>
    </row>
    <row r="482" spans="1:10" ht="22.5" customHeight="1">
      <c r="A482" s="65"/>
      <c r="B482" s="13"/>
      <c r="C482" s="20"/>
      <c r="D482" s="20"/>
      <c r="E482" s="69"/>
      <c r="F482" s="70"/>
      <c r="G482" s="70"/>
      <c r="H482" s="13"/>
      <c r="I482" s="14"/>
      <c r="J482" s="13" t="str">
        <f ca="1">IFERROR(__xludf.DUMMYFUNCTION("IF(I478="""", """", RANK(I478, FILTER(I:I, I:I&lt;&gt;""""), 1))
"),"")</f>
        <v/>
      </c>
    </row>
    <row r="483" spans="1:10" ht="22.5" customHeight="1">
      <c r="A483" s="68"/>
      <c r="B483" s="20"/>
      <c r="C483" s="13"/>
      <c r="D483" s="13"/>
      <c r="E483" s="66"/>
      <c r="F483" s="67"/>
      <c r="G483" s="67"/>
      <c r="H483" s="20"/>
      <c r="I483" s="27"/>
      <c r="J483" s="20" t="str">
        <f ca="1">IFERROR(__xludf.DUMMYFUNCTION("IF(I479="""", """", RANK(I479, FILTER(I:I, I:I&lt;&gt;""""), 1))
"),"")</f>
        <v/>
      </c>
    </row>
    <row r="484" spans="1:10" ht="22.5" customHeight="1">
      <c r="A484" s="65"/>
      <c r="B484" s="13"/>
      <c r="C484" s="20"/>
      <c r="D484" s="20"/>
      <c r="E484" s="69"/>
      <c r="F484" s="70"/>
      <c r="G484" s="70"/>
      <c r="H484" s="13"/>
      <c r="I484" s="14"/>
      <c r="J484" s="13" t="str">
        <f ca="1">IFERROR(__xludf.DUMMYFUNCTION("IF(I480="""", """", RANK(I480, FILTER(I:I, I:I&lt;&gt;""""), 1))
"),"")</f>
        <v/>
      </c>
    </row>
    <row r="485" spans="1:10" ht="22.5" customHeight="1">
      <c r="A485" s="68"/>
      <c r="B485" s="20"/>
      <c r="C485" s="13"/>
      <c r="D485" s="13"/>
      <c r="E485" s="66"/>
      <c r="F485" s="67"/>
      <c r="G485" s="67"/>
      <c r="H485" s="20"/>
      <c r="I485" s="27"/>
      <c r="J485" s="20" t="str">
        <f ca="1">IFERROR(__xludf.DUMMYFUNCTION("IF(I481="""", """", RANK(I481, FILTER(I:I, I:I&lt;&gt;""""), 1))
"),"")</f>
        <v/>
      </c>
    </row>
    <row r="486" spans="1:10" ht="22.5" customHeight="1">
      <c r="A486" s="65"/>
      <c r="B486" s="13"/>
      <c r="C486" s="20"/>
      <c r="D486" s="20"/>
      <c r="E486" s="69"/>
      <c r="F486" s="70"/>
      <c r="G486" s="70"/>
      <c r="H486" s="13"/>
      <c r="I486" s="14"/>
      <c r="J486" s="13" t="str">
        <f ca="1">IFERROR(__xludf.DUMMYFUNCTION("IF(I482="""", """", RANK(I482, FILTER(I:I, I:I&lt;&gt;""""), 1))
"),"")</f>
        <v/>
      </c>
    </row>
    <row r="487" spans="1:10" ht="22.5" customHeight="1">
      <c r="A487" s="68"/>
      <c r="B487" s="20"/>
      <c r="C487" s="13"/>
      <c r="D487" s="13"/>
      <c r="E487" s="66"/>
      <c r="F487" s="67"/>
      <c r="G487" s="67"/>
      <c r="H487" s="20"/>
      <c r="I487" s="27"/>
      <c r="J487" s="20" t="str">
        <f ca="1">IFERROR(__xludf.DUMMYFUNCTION("IF(I483="""", """", RANK(I483, FILTER(I:I, I:I&lt;&gt;""""), 1))
"),"")</f>
        <v/>
      </c>
    </row>
    <row r="488" spans="1:10" ht="22.5" customHeight="1">
      <c r="A488" s="65"/>
      <c r="B488" s="13"/>
      <c r="C488" s="20"/>
      <c r="D488" s="20"/>
      <c r="E488" s="69"/>
      <c r="F488" s="70"/>
      <c r="G488" s="70"/>
      <c r="H488" s="13"/>
      <c r="I488" s="14"/>
      <c r="J488" s="13" t="str">
        <f ca="1">IFERROR(__xludf.DUMMYFUNCTION("IF(I484="""", """", RANK(I484, FILTER(I:I, I:I&lt;&gt;""""), 1))
"),"")</f>
        <v/>
      </c>
    </row>
    <row r="489" spans="1:10" ht="22.5" customHeight="1">
      <c r="A489" s="68"/>
      <c r="B489" s="20"/>
      <c r="C489" s="13"/>
      <c r="D489" s="13"/>
      <c r="E489" s="66"/>
      <c r="F489" s="67"/>
      <c r="G489" s="67"/>
      <c r="H489" s="20"/>
      <c r="I489" s="27"/>
      <c r="J489" s="20" t="str">
        <f ca="1">IFERROR(__xludf.DUMMYFUNCTION("IF(I485="""", """", RANK(I485, FILTER(I:I, I:I&lt;&gt;""""), 1))
"),"")</f>
        <v/>
      </c>
    </row>
    <row r="490" spans="1:10" ht="22.5" customHeight="1">
      <c r="A490" s="65"/>
      <c r="B490" s="13"/>
      <c r="C490" s="20"/>
      <c r="D490" s="20"/>
      <c r="E490" s="69"/>
      <c r="F490" s="70"/>
      <c r="G490" s="70"/>
      <c r="H490" s="13"/>
      <c r="I490" s="14"/>
      <c r="J490" s="13" t="str">
        <f ca="1">IFERROR(__xludf.DUMMYFUNCTION("IF(I486="""", """", RANK(I486, FILTER(I:I, I:I&lt;&gt;""""), 1))
"),"")</f>
        <v/>
      </c>
    </row>
    <row r="491" spans="1:10" ht="22.5" customHeight="1">
      <c r="A491" s="68"/>
      <c r="B491" s="20"/>
      <c r="C491" s="13"/>
      <c r="D491" s="13"/>
      <c r="E491" s="66"/>
      <c r="F491" s="67"/>
      <c r="G491" s="67"/>
      <c r="H491" s="20"/>
      <c r="I491" s="27"/>
      <c r="J491" s="20" t="str">
        <f ca="1">IFERROR(__xludf.DUMMYFUNCTION("IF(I487="""", """", RANK(I487, FILTER(I:I, I:I&lt;&gt;""""), 1))
"),"")</f>
        <v/>
      </c>
    </row>
    <row r="492" spans="1:10" ht="22.5" customHeight="1">
      <c r="A492" s="65"/>
      <c r="B492" s="13"/>
      <c r="C492" s="20"/>
      <c r="D492" s="20"/>
      <c r="E492" s="69"/>
      <c r="F492" s="70"/>
      <c r="G492" s="70"/>
      <c r="H492" s="13"/>
      <c r="I492" s="14"/>
      <c r="J492" s="13" t="str">
        <f ca="1">IFERROR(__xludf.DUMMYFUNCTION("IF(I488="""", """", RANK(I488, FILTER(I:I, I:I&lt;&gt;""""), 1))
"),"")</f>
        <v/>
      </c>
    </row>
    <row r="493" spans="1:10" ht="22.5" customHeight="1">
      <c r="A493" s="68"/>
      <c r="B493" s="20"/>
      <c r="C493" s="13"/>
      <c r="D493" s="13"/>
      <c r="E493" s="66"/>
      <c r="F493" s="67"/>
      <c r="G493" s="67"/>
      <c r="H493" s="20"/>
      <c r="I493" s="27"/>
      <c r="J493" s="20" t="str">
        <f ca="1">IFERROR(__xludf.DUMMYFUNCTION("IF(I489="""", """", RANK(I489, FILTER(I:I, I:I&lt;&gt;""""), 1))
"),"")</f>
        <v/>
      </c>
    </row>
    <row r="494" spans="1:10" ht="22.5" customHeight="1">
      <c r="A494" s="65"/>
      <c r="B494" s="13"/>
      <c r="C494" s="20"/>
      <c r="D494" s="20"/>
      <c r="E494" s="69"/>
      <c r="F494" s="70"/>
      <c r="G494" s="70"/>
      <c r="H494" s="13"/>
      <c r="I494" s="14"/>
      <c r="J494" s="13" t="str">
        <f ca="1">IFERROR(__xludf.DUMMYFUNCTION("IF(I490="""", """", RANK(I490, FILTER(I:I, I:I&lt;&gt;""""), 1))
"),"")</f>
        <v/>
      </c>
    </row>
    <row r="495" spans="1:10" ht="22.5" customHeight="1">
      <c r="A495" s="68"/>
      <c r="B495" s="20"/>
      <c r="C495" s="13"/>
      <c r="D495" s="13"/>
      <c r="E495" s="66"/>
      <c r="F495" s="67"/>
      <c r="G495" s="67"/>
      <c r="H495" s="20"/>
      <c r="I495" s="27"/>
      <c r="J495" s="20" t="str">
        <f ca="1">IFERROR(__xludf.DUMMYFUNCTION("IF(I491="""", """", RANK(I491, FILTER(I:I, I:I&lt;&gt;""""), 1))
"),"")</f>
        <v/>
      </c>
    </row>
    <row r="496" spans="1:10" ht="22.5" customHeight="1">
      <c r="A496" s="65"/>
      <c r="B496" s="13"/>
      <c r="C496" s="20"/>
      <c r="D496" s="20"/>
      <c r="E496" s="69"/>
      <c r="F496" s="70"/>
      <c r="G496" s="70"/>
      <c r="H496" s="13"/>
      <c r="I496" s="14"/>
      <c r="J496" s="13" t="str">
        <f ca="1">IFERROR(__xludf.DUMMYFUNCTION("IF(I492="""", """", RANK(I492, FILTER(I:I, I:I&lt;&gt;""""), 1))
"),"")</f>
        <v/>
      </c>
    </row>
    <row r="497" spans="1:10" ht="22.5" customHeight="1">
      <c r="A497" s="68"/>
      <c r="B497" s="20"/>
      <c r="C497" s="13"/>
      <c r="D497" s="13"/>
      <c r="E497" s="66"/>
      <c r="F497" s="67"/>
      <c r="G497" s="67"/>
      <c r="H497" s="20"/>
      <c r="I497" s="27"/>
      <c r="J497" s="20" t="str">
        <f ca="1">IFERROR(__xludf.DUMMYFUNCTION("IF(I493="""", """", RANK(I493, FILTER(I:I, I:I&lt;&gt;""""), 1))
"),"")</f>
        <v/>
      </c>
    </row>
    <row r="498" spans="1:10" ht="22.5" customHeight="1">
      <c r="A498" s="65"/>
      <c r="B498" s="13"/>
      <c r="C498" s="20"/>
      <c r="D498" s="20"/>
      <c r="E498" s="69"/>
      <c r="F498" s="70"/>
      <c r="G498" s="70"/>
      <c r="H498" s="13"/>
      <c r="I498" s="14"/>
      <c r="J498" s="13" t="str">
        <f ca="1">IFERROR(__xludf.DUMMYFUNCTION("IF(I494="""", """", RANK(I494, FILTER(I:I, I:I&lt;&gt;""""), 1))
"),"")</f>
        <v/>
      </c>
    </row>
    <row r="499" spans="1:10" ht="22.5" customHeight="1">
      <c r="A499" s="68"/>
      <c r="B499" s="20"/>
      <c r="C499" s="13"/>
      <c r="D499" s="13"/>
      <c r="E499" s="66"/>
      <c r="F499" s="67"/>
      <c r="G499" s="67"/>
      <c r="H499" s="20"/>
      <c r="I499" s="27"/>
      <c r="J499" s="20" t="str">
        <f ca="1">IFERROR(__xludf.DUMMYFUNCTION("IF(I495="""", """", RANK(I495, FILTER(I:I, I:I&lt;&gt;""""), 1))
"),"")</f>
        <v/>
      </c>
    </row>
    <row r="500" spans="1:10" ht="22.5" customHeight="1">
      <c r="A500" s="65"/>
      <c r="B500" s="13"/>
      <c r="C500" s="20"/>
      <c r="D500" s="20"/>
      <c r="E500" s="69"/>
      <c r="F500" s="70"/>
      <c r="G500" s="70"/>
      <c r="H500" s="13"/>
      <c r="I500" s="14"/>
      <c r="J500" s="13" t="str">
        <f ca="1">IFERROR(__xludf.DUMMYFUNCTION("IF(I496="""", """", RANK(I496, FILTER(I:I, I:I&lt;&gt;""""), 1))
"),"")</f>
        <v/>
      </c>
    </row>
    <row r="501" spans="1:10" ht="22.5" customHeight="1">
      <c r="A501" s="68"/>
      <c r="B501" s="20"/>
      <c r="C501" s="13"/>
      <c r="D501" s="13"/>
      <c r="E501" s="66"/>
      <c r="F501" s="67"/>
      <c r="G501" s="67"/>
      <c r="H501" s="20"/>
      <c r="I501" s="27"/>
      <c r="J501" s="20" t="str">
        <f ca="1">IFERROR(__xludf.DUMMYFUNCTION("IF(I497="""", """", RANK(I497, FILTER(I:I, I:I&lt;&gt;""""), 1))
"),"")</f>
        <v/>
      </c>
    </row>
    <row r="502" spans="1:10" ht="22.5" customHeight="1">
      <c r="A502" s="65"/>
      <c r="B502" s="13"/>
      <c r="C502" s="20"/>
      <c r="D502" s="20"/>
      <c r="E502" s="69"/>
      <c r="F502" s="70"/>
      <c r="G502" s="70"/>
      <c r="H502" s="13"/>
      <c r="I502" s="14"/>
      <c r="J502" s="13" t="str">
        <f ca="1">IFERROR(__xludf.DUMMYFUNCTION("IF(I498="""", """", RANK(I498, FILTER(I:I, I:I&lt;&gt;""""), 1))
"),"")</f>
        <v/>
      </c>
    </row>
    <row r="503" spans="1:10" ht="22.5" customHeight="1">
      <c r="A503" s="68"/>
      <c r="B503" s="20"/>
      <c r="C503" s="13"/>
      <c r="D503" s="13"/>
      <c r="E503" s="66"/>
      <c r="F503" s="67"/>
      <c r="G503" s="67"/>
      <c r="H503" s="20"/>
      <c r="I503" s="27"/>
      <c r="J503" s="20" t="str">
        <f ca="1">IFERROR(__xludf.DUMMYFUNCTION("IF(I499="""", """", RANK(I499, FILTER(I:I, I:I&lt;&gt;""""), 1))
"),"")</f>
        <v/>
      </c>
    </row>
    <row r="504" spans="1:10" ht="22.5" customHeight="1">
      <c r="A504" s="65"/>
      <c r="B504" s="13"/>
      <c r="C504" s="20"/>
      <c r="D504" s="20"/>
      <c r="E504" s="69"/>
      <c r="F504" s="70"/>
      <c r="G504" s="70"/>
      <c r="H504" s="13"/>
      <c r="I504" s="14"/>
      <c r="J504" s="13" t="str">
        <f ca="1">IFERROR(__xludf.DUMMYFUNCTION("IF(I500="""", """", RANK(I500, FILTER(I:I, I:I&lt;&gt;""""), 1))
"),"")</f>
        <v/>
      </c>
    </row>
    <row r="505" spans="1:10" ht="22.5" customHeight="1">
      <c r="A505" s="68"/>
      <c r="B505" s="20"/>
      <c r="C505" s="13"/>
      <c r="D505" s="13"/>
      <c r="E505" s="66"/>
      <c r="F505" s="67"/>
      <c r="G505" s="67"/>
      <c r="H505" s="20"/>
      <c r="I505" s="27"/>
      <c r="J505" s="20" t="str">
        <f ca="1">IFERROR(__xludf.DUMMYFUNCTION("IF(I501="""", """", RANK(I501, FILTER(I:I, I:I&lt;&gt;""""), 1))
"),"")</f>
        <v/>
      </c>
    </row>
    <row r="506" spans="1:10" ht="22.5" customHeight="1">
      <c r="A506" s="65"/>
      <c r="B506" s="13"/>
      <c r="C506" s="20"/>
      <c r="D506" s="20"/>
      <c r="E506" s="69"/>
      <c r="F506" s="70"/>
      <c r="G506" s="70"/>
      <c r="H506" s="13"/>
      <c r="I506" s="14"/>
      <c r="J506" s="13" t="str">
        <f ca="1">IFERROR(__xludf.DUMMYFUNCTION("IF(I502="""", """", RANK(I502, FILTER(I:I, I:I&lt;&gt;""""), 1))
"),"")</f>
        <v/>
      </c>
    </row>
    <row r="507" spans="1:10" ht="22.5" customHeight="1">
      <c r="A507" s="68"/>
      <c r="B507" s="20"/>
      <c r="C507" s="13"/>
      <c r="D507" s="13"/>
      <c r="E507" s="66"/>
      <c r="F507" s="67"/>
      <c r="G507" s="67"/>
      <c r="H507" s="20"/>
      <c r="I507" s="27"/>
      <c r="J507" s="20" t="str">
        <f ca="1">IFERROR(__xludf.DUMMYFUNCTION("IF(I503="""", """", RANK(I503, FILTER(I:I, I:I&lt;&gt;""""), 1))
"),"")</f>
        <v/>
      </c>
    </row>
    <row r="508" spans="1:10" ht="22.5" customHeight="1">
      <c r="A508" s="65"/>
      <c r="B508" s="13"/>
      <c r="C508" s="20"/>
      <c r="D508" s="20"/>
      <c r="E508" s="69"/>
      <c r="F508" s="70"/>
      <c r="G508" s="70"/>
      <c r="H508" s="13"/>
      <c r="I508" s="14"/>
      <c r="J508" s="13" t="str">
        <f ca="1">IFERROR(__xludf.DUMMYFUNCTION("IF(I504="""", """", RANK(I504, FILTER(I:I, I:I&lt;&gt;""""), 1))
"),"")</f>
        <v/>
      </c>
    </row>
    <row r="509" spans="1:10" ht="22.5" customHeight="1">
      <c r="A509" s="68"/>
      <c r="B509" s="20"/>
      <c r="C509" s="13"/>
      <c r="D509" s="13"/>
      <c r="E509" s="66"/>
      <c r="F509" s="67"/>
      <c r="G509" s="67"/>
      <c r="H509" s="20"/>
      <c r="I509" s="27"/>
      <c r="J509" s="20" t="str">
        <f ca="1">IFERROR(__xludf.DUMMYFUNCTION("IF(I505="""", """", RANK(I505, FILTER(I:I, I:I&lt;&gt;""""), 1))
"),"")</f>
        <v/>
      </c>
    </row>
    <row r="510" spans="1:10" ht="22.5" customHeight="1">
      <c r="A510" s="65"/>
      <c r="B510" s="13"/>
      <c r="C510" s="20"/>
      <c r="D510" s="20"/>
      <c r="E510" s="69"/>
      <c r="F510" s="70"/>
      <c r="G510" s="70"/>
      <c r="H510" s="13"/>
      <c r="I510" s="14"/>
      <c r="J510" s="13" t="str">
        <f ca="1">IFERROR(__xludf.DUMMYFUNCTION("IF(I506="""", """", RANK(I506, FILTER(I:I, I:I&lt;&gt;""""), 1))
"),"")</f>
        <v/>
      </c>
    </row>
    <row r="511" spans="1:10" ht="22.5" customHeight="1">
      <c r="A511" s="68"/>
      <c r="B511" s="20"/>
      <c r="C511" s="13"/>
      <c r="D511" s="13"/>
      <c r="E511" s="66"/>
      <c r="F511" s="67"/>
      <c r="G511" s="67"/>
      <c r="H511" s="20"/>
      <c r="I511" s="27"/>
      <c r="J511" s="20" t="str">
        <f ca="1">IFERROR(__xludf.DUMMYFUNCTION("IF(I507="""", """", RANK(I507, FILTER(I:I, I:I&lt;&gt;""""), 1))
"),"")</f>
        <v/>
      </c>
    </row>
    <row r="512" spans="1:10" ht="22.5" customHeight="1">
      <c r="A512" s="65"/>
      <c r="B512" s="13"/>
      <c r="C512" s="20"/>
      <c r="D512" s="20"/>
      <c r="E512" s="69"/>
      <c r="F512" s="70"/>
      <c r="G512" s="70"/>
      <c r="H512" s="13"/>
      <c r="I512" s="14"/>
      <c r="J512" s="13" t="str">
        <f ca="1">IFERROR(__xludf.DUMMYFUNCTION("IF(I508="""", """", RANK(I508, FILTER(I:I, I:I&lt;&gt;""""), 1))
"),"")</f>
        <v/>
      </c>
    </row>
    <row r="513" spans="1:10" ht="22.5" customHeight="1">
      <c r="A513" s="68"/>
      <c r="B513" s="20"/>
      <c r="C513" s="13"/>
      <c r="D513" s="13"/>
      <c r="E513" s="66"/>
      <c r="F513" s="67"/>
      <c r="G513" s="67"/>
      <c r="H513" s="20"/>
      <c r="I513" s="27"/>
      <c r="J513" s="20" t="str">
        <f ca="1">IFERROR(__xludf.DUMMYFUNCTION("IF(I509="""", """", RANK(I509, FILTER(I:I, I:I&lt;&gt;""""), 1))
"),"")</f>
        <v/>
      </c>
    </row>
    <row r="514" spans="1:10" ht="22.5" customHeight="1">
      <c r="A514" s="65"/>
      <c r="B514" s="13"/>
      <c r="C514" s="20"/>
      <c r="D514" s="20"/>
      <c r="E514" s="69"/>
      <c r="F514" s="70"/>
      <c r="G514" s="70"/>
      <c r="H514" s="13"/>
      <c r="I514" s="14"/>
      <c r="J514" s="13" t="str">
        <f ca="1">IFERROR(__xludf.DUMMYFUNCTION("IF(I510="""", """", RANK(I510, FILTER(I:I, I:I&lt;&gt;""""), 1))
"),"")</f>
        <v/>
      </c>
    </row>
    <row r="515" spans="1:10" ht="22.5" customHeight="1">
      <c r="A515" s="68"/>
      <c r="B515" s="20"/>
      <c r="C515" s="13"/>
      <c r="D515" s="13"/>
      <c r="E515" s="66"/>
      <c r="F515" s="67"/>
      <c r="G515" s="67"/>
      <c r="H515" s="20"/>
      <c r="I515" s="27"/>
      <c r="J515" s="20" t="str">
        <f ca="1">IFERROR(__xludf.DUMMYFUNCTION("IF(I511="""", """", RANK(I511, FILTER(I:I, I:I&lt;&gt;""""), 1))
"),"")</f>
        <v/>
      </c>
    </row>
    <row r="516" spans="1:10" ht="22.5" customHeight="1">
      <c r="A516" s="65"/>
      <c r="B516" s="13"/>
      <c r="C516" s="20"/>
      <c r="D516" s="20"/>
      <c r="E516" s="69"/>
      <c r="F516" s="70"/>
      <c r="G516" s="70"/>
      <c r="H516" s="13"/>
      <c r="I516" s="14"/>
      <c r="J516" s="13" t="str">
        <f ca="1">IFERROR(__xludf.DUMMYFUNCTION("IF(I512="""", """", RANK(I512, FILTER(I:I, I:I&lt;&gt;""""), 1))
"),"")</f>
        <v/>
      </c>
    </row>
    <row r="517" spans="1:10" ht="22.5" customHeight="1">
      <c r="A517" s="68"/>
      <c r="B517" s="20"/>
      <c r="C517" s="13"/>
      <c r="D517" s="13"/>
      <c r="E517" s="66"/>
      <c r="F517" s="67"/>
      <c r="G517" s="67"/>
      <c r="H517" s="20"/>
      <c r="I517" s="27"/>
      <c r="J517" s="20" t="str">
        <f ca="1">IFERROR(__xludf.DUMMYFUNCTION("IF(I513="""", """", RANK(I513, FILTER(I:I, I:I&lt;&gt;""""), 1))
"),"")</f>
        <v/>
      </c>
    </row>
    <row r="518" spans="1:10" ht="22.5" customHeight="1">
      <c r="A518" s="65"/>
      <c r="B518" s="13"/>
      <c r="C518" s="20"/>
      <c r="D518" s="20"/>
      <c r="E518" s="69"/>
      <c r="F518" s="70"/>
      <c r="G518" s="70"/>
      <c r="H518" s="13"/>
      <c r="I518" s="14"/>
      <c r="J518" s="13" t="str">
        <f ca="1">IFERROR(__xludf.DUMMYFUNCTION("IF(I514="""", """", RANK(I514, FILTER(I:I, I:I&lt;&gt;""""), 1))
"),"")</f>
        <v/>
      </c>
    </row>
    <row r="519" spans="1:10" ht="22.5" customHeight="1">
      <c r="A519" s="68"/>
      <c r="B519" s="20"/>
      <c r="C519" s="13"/>
      <c r="D519" s="13"/>
      <c r="E519" s="66"/>
      <c r="F519" s="67"/>
      <c r="G519" s="67"/>
      <c r="H519" s="20"/>
      <c r="I519" s="27"/>
      <c r="J519" s="20" t="str">
        <f ca="1">IFERROR(__xludf.DUMMYFUNCTION("IF(I515="""", """", RANK(I515, FILTER(I:I, I:I&lt;&gt;""""), 1))
"),"")</f>
        <v/>
      </c>
    </row>
    <row r="520" spans="1:10" ht="22.5" customHeight="1">
      <c r="A520" s="65"/>
      <c r="B520" s="13"/>
      <c r="C520" s="20"/>
      <c r="D520" s="20"/>
      <c r="E520" s="69"/>
      <c r="F520" s="70"/>
      <c r="G520" s="70"/>
      <c r="H520" s="13"/>
      <c r="I520" s="14"/>
      <c r="J520" s="13" t="str">
        <f ca="1">IFERROR(__xludf.DUMMYFUNCTION("IF(I516="""", """", RANK(I516, FILTER(I:I, I:I&lt;&gt;""""), 1))
"),"")</f>
        <v/>
      </c>
    </row>
    <row r="521" spans="1:10" ht="22.5" customHeight="1">
      <c r="A521" s="68"/>
      <c r="B521" s="20"/>
      <c r="C521" s="13"/>
      <c r="D521" s="13"/>
      <c r="E521" s="66"/>
      <c r="F521" s="67"/>
      <c r="G521" s="67"/>
      <c r="H521" s="20"/>
      <c r="I521" s="27"/>
      <c r="J521" s="20" t="str">
        <f ca="1">IFERROR(__xludf.DUMMYFUNCTION("IF(I517="""", """", RANK(I517, FILTER(I:I, I:I&lt;&gt;""""), 1))
"),"")</f>
        <v/>
      </c>
    </row>
    <row r="522" spans="1:10" ht="22.5" customHeight="1">
      <c r="A522" s="65"/>
      <c r="B522" s="13"/>
      <c r="C522" s="20"/>
      <c r="D522" s="20"/>
      <c r="E522" s="69"/>
      <c r="F522" s="70"/>
      <c r="G522" s="70"/>
      <c r="H522" s="13"/>
      <c r="I522" s="14"/>
      <c r="J522" s="13" t="str">
        <f ca="1">IFERROR(__xludf.DUMMYFUNCTION("IF(I518="""", """", RANK(I518, FILTER(I:I, I:I&lt;&gt;""""), 1))
"),"")</f>
        <v/>
      </c>
    </row>
    <row r="523" spans="1:10" ht="22.5" customHeight="1">
      <c r="A523" s="68"/>
      <c r="B523" s="20"/>
      <c r="C523" s="13"/>
      <c r="D523" s="13"/>
      <c r="E523" s="66"/>
      <c r="F523" s="67"/>
      <c r="G523" s="67"/>
      <c r="H523" s="20"/>
      <c r="I523" s="27"/>
      <c r="J523" s="20" t="str">
        <f ca="1">IFERROR(__xludf.DUMMYFUNCTION("IF(I519="""", """", RANK(I519, FILTER(I:I, I:I&lt;&gt;""""), 1))
"),"")</f>
        <v/>
      </c>
    </row>
    <row r="524" spans="1:10" ht="22.5" customHeight="1">
      <c r="A524" s="65"/>
      <c r="B524" s="13"/>
      <c r="C524" s="20"/>
      <c r="D524" s="20"/>
      <c r="E524" s="69"/>
      <c r="F524" s="70"/>
      <c r="G524" s="70"/>
      <c r="H524" s="13"/>
      <c r="I524" s="14"/>
      <c r="J524" s="13" t="str">
        <f ca="1">IFERROR(__xludf.DUMMYFUNCTION("IF(I520="""", """", RANK(I520, FILTER(I:I, I:I&lt;&gt;""""), 1))
"),"")</f>
        <v/>
      </c>
    </row>
    <row r="525" spans="1:10" ht="22.5" customHeight="1">
      <c r="A525" s="68"/>
      <c r="B525" s="20"/>
      <c r="C525" s="13"/>
      <c r="D525" s="13"/>
      <c r="E525" s="66"/>
      <c r="F525" s="67"/>
      <c r="G525" s="67"/>
      <c r="H525" s="20"/>
      <c r="I525" s="27"/>
      <c r="J525" s="20" t="str">
        <f ca="1">IFERROR(__xludf.DUMMYFUNCTION("IF(I521="""", """", RANK(I521, FILTER(I:I, I:I&lt;&gt;""""), 1))
"),"")</f>
        <v/>
      </c>
    </row>
    <row r="526" spans="1:10" ht="22.5" customHeight="1">
      <c r="A526" s="65"/>
      <c r="B526" s="13"/>
      <c r="C526" s="20"/>
      <c r="D526" s="20"/>
      <c r="E526" s="69"/>
      <c r="F526" s="70"/>
      <c r="G526" s="70"/>
      <c r="H526" s="13"/>
      <c r="I526" s="14"/>
      <c r="J526" s="13" t="str">
        <f ca="1">IFERROR(__xludf.DUMMYFUNCTION("IF(I522="""", """", RANK(I522, FILTER(I:I, I:I&lt;&gt;""""), 1))
"),"")</f>
        <v/>
      </c>
    </row>
    <row r="527" spans="1:10" ht="22.5" customHeight="1">
      <c r="A527" s="68"/>
      <c r="B527" s="20"/>
      <c r="C527" s="13"/>
      <c r="D527" s="13"/>
      <c r="E527" s="66"/>
      <c r="F527" s="67"/>
      <c r="G527" s="67"/>
      <c r="H527" s="20"/>
      <c r="I527" s="27"/>
      <c r="J527" s="20" t="str">
        <f ca="1">IFERROR(__xludf.DUMMYFUNCTION("IF(I523="""", """", RANK(I523, FILTER(I:I, I:I&lt;&gt;""""), 1))
"),"")</f>
        <v/>
      </c>
    </row>
    <row r="528" spans="1:10" ht="22.5" customHeight="1">
      <c r="A528" s="65"/>
      <c r="B528" s="13"/>
      <c r="C528" s="20"/>
      <c r="D528" s="20"/>
      <c r="E528" s="69"/>
      <c r="F528" s="70"/>
      <c r="G528" s="70"/>
      <c r="H528" s="13"/>
      <c r="I528" s="14"/>
      <c r="J528" s="13" t="str">
        <f ca="1">IFERROR(__xludf.DUMMYFUNCTION("IF(I524="""", """", RANK(I524, FILTER(I:I, I:I&lt;&gt;""""), 1))
"),"")</f>
        <v/>
      </c>
    </row>
    <row r="529" spans="1:10" ht="22.5" customHeight="1">
      <c r="A529" s="68"/>
      <c r="B529" s="20"/>
      <c r="C529" s="13"/>
      <c r="D529" s="13"/>
      <c r="E529" s="66"/>
      <c r="F529" s="67"/>
      <c r="G529" s="67"/>
      <c r="H529" s="20"/>
      <c r="I529" s="27"/>
      <c r="J529" s="20" t="str">
        <f ca="1">IFERROR(__xludf.DUMMYFUNCTION("IF(I525="""", """", RANK(I525, FILTER(I:I, I:I&lt;&gt;""""), 1))
"),"")</f>
        <v/>
      </c>
    </row>
    <row r="530" spans="1:10" ht="22.5" customHeight="1">
      <c r="A530" s="65"/>
      <c r="B530" s="13"/>
      <c r="C530" s="20"/>
      <c r="D530" s="20"/>
      <c r="E530" s="69"/>
      <c r="F530" s="70"/>
      <c r="G530" s="70"/>
      <c r="H530" s="13"/>
      <c r="I530" s="14"/>
      <c r="J530" s="13" t="str">
        <f ca="1">IFERROR(__xludf.DUMMYFUNCTION("IF(I526="""", """", RANK(I526, FILTER(I:I, I:I&lt;&gt;""""), 1))
"),"")</f>
        <v/>
      </c>
    </row>
    <row r="531" spans="1:10" ht="22.5" customHeight="1">
      <c r="A531" s="68"/>
      <c r="B531" s="20"/>
      <c r="C531" s="13"/>
      <c r="D531" s="13"/>
      <c r="E531" s="66"/>
      <c r="F531" s="67"/>
      <c r="G531" s="67"/>
      <c r="H531" s="20"/>
      <c r="I531" s="27"/>
      <c r="J531" s="20" t="str">
        <f ca="1">IFERROR(__xludf.DUMMYFUNCTION("IF(I527="""", """", RANK(I527, FILTER(I:I, I:I&lt;&gt;""""), 1))
"),"")</f>
        <v/>
      </c>
    </row>
    <row r="532" spans="1:10" ht="22.5" customHeight="1">
      <c r="A532" s="65"/>
      <c r="B532" s="13"/>
      <c r="C532" s="20"/>
      <c r="D532" s="20"/>
      <c r="E532" s="69"/>
      <c r="F532" s="70"/>
      <c r="G532" s="70"/>
      <c r="H532" s="13"/>
      <c r="I532" s="14"/>
      <c r="J532" s="13" t="str">
        <f ca="1">IFERROR(__xludf.DUMMYFUNCTION("IF(I528="""", """", RANK(I528, FILTER(I:I, I:I&lt;&gt;""""), 1))
"),"")</f>
        <v/>
      </c>
    </row>
    <row r="533" spans="1:10" ht="22.5" customHeight="1">
      <c r="A533" s="68"/>
      <c r="B533" s="20"/>
      <c r="C533" s="13"/>
      <c r="D533" s="13"/>
      <c r="E533" s="66"/>
      <c r="F533" s="67"/>
      <c r="G533" s="67"/>
      <c r="H533" s="20"/>
      <c r="I533" s="27"/>
      <c r="J533" s="20" t="str">
        <f ca="1">IFERROR(__xludf.DUMMYFUNCTION("IF(I529="""", """", RANK(I529, FILTER(I:I, I:I&lt;&gt;""""), 1))
"),"")</f>
        <v/>
      </c>
    </row>
    <row r="534" spans="1:10" ht="22.5" customHeight="1">
      <c r="A534" s="65"/>
      <c r="B534" s="13"/>
      <c r="C534" s="20"/>
      <c r="D534" s="20"/>
      <c r="E534" s="69"/>
      <c r="F534" s="70"/>
      <c r="G534" s="70"/>
      <c r="H534" s="13"/>
      <c r="I534" s="14"/>
      <c r="J534" s="13" t="str">
        <f ca="1">IFERROR(__xludf.DUMMYFUNCTION("IF(I530="""", """", RANK(I530, FILTER(I:I, I:I&lt;&gt;""""), 1))
"),"")</f>
        <v/>
      </c>
    </row>
    <row r="535" spans="1:10" ht="22.5" customHeight="1">
      <c r="A535" s="68"/>
      <c r="B535" s="20"/>
      <c r="C535" s="13"/>
      <c r="D535" s="13"/>
      <c r="E535" s="66"/>
      <c r="F535" s="67"/>
      <c r="G535" s="67"/>
      <c r="H535" s="20"/>
      <c r="I535" s="27"/>
      <c r="J535" s="20" t="str">
        <f ca="1">IFERROR(__xludf.DUMMYFUNCTION("IF(I531="""", """", RANK(I531, FILTER(I:I, I:I&lt;&gt;""""), 1))
"),"")</f>
        <v/>
      </c>
    </row>
    <row r="536" spans="1:10" ht="22.5" customHeight="1">
      <c r="A536" s="65"/>
      <c r="B536" s="13"/>
      <c r="C536" s="20"/>
      <c r="D536" s="20"/>
      <c r="E536" s="69"/>
      <c r="F536" s="70"/>
      <c r="G536" s="70"/>
      <c r="H536" s="13"/>
      <c r="I536" s="14"/>
      <c r="J536" s="13" t="str">
        <f ca="1">IFERROR(__xludf.DUMMYFUNCTION("IF(I532="""", """", RANK(I532, FILTER(I:I, I:I&lt;&gt;""""), 1))
"),"")</f>
        <v/>
      </c>
    </row>
    <row r="537" spans="1:10" ht="22.5" customHeight="1">
      <c r="A537" s="68"/>
      <c r="B537" s="20"/>
      <c r="C537" s="13"/>
      <c r="D537" s="13"/>
      <c r="E537" s="66"/>
      <c r="F537" s="67"/>
      <c r="G537" s="67"/>
      <c r="H537" s="20"/>
      <c r="I537" s="27"/>
      <c r="J537" s="20" t="str">
        <f ca="1">IFERROR(__xludf.DUMMYFUNCTION("IF(I533="""", """", RANK(I533, FILTER(I:I, I:I&lt;&gt;""""), 1))
"),"")</f>
        <v/>
      </c>
    </row>
    <row r="538" spans="1:10" ht="22.5" customHeight="1">
      <c r="A538" s="65"/>
      <c r="B538" s="13"/>
      <c r="C538" s="20"/>
      <c r="D538" s="20"/>
      <c r="E538" s="69"/>
      <c r="F538" s="70"/>
      <c r="G538" s="70"/>
      <c r="H538" s="13"/>
      <c r="I538" s="14"/>
      <c r="J538" s="13" t="str">
        <f ca="1">IFERROR(__xludf.DUMMYFUNCTION("IF(I534="""", """", RANK(I534, FILTER(I:I, I:I&lt;&gt;""""), 1))
"),"")</f>
        <v/>
      </c>
    </row>
    <row r="539" spans="1:10" ht="22.5" customHeight="1">
      <c r="A539" s="68"/>
      <c r="B539" s="20"/>
      <c r="C539" s="13"/>
      <c r="D539" s="13"/>
      <c r="E539" s="66"/>
      <c r="F539" s="67"/>
      <c r="G539" s="67"/>
      <c r="H539" s="20"/>
      <c r="I539" s="27"/>
      <c r="J539" s="20" t="str">
        <f ca="1">IFERROR(__xludf.DUMMYFUNCTION("IF(I535="""", """", RANK(I535, FILTER(I:I, I:I&lt;&gt;""""), 1))
"),"")</f>
        <v/>
      </c>
    </row>
    <row r="540" spans="1:10" ht="22.5" customHeight="1">
      <c r="A540" s="65"/>
      <c r="B540" s="13"/>
      <c r="C540" s="20"/>
      <c r="D540" s="20"/>
      <c r="E540" s="69"/>
      <c r="F540" s="70"/>
      <c r="G540" s="70"/>
      <c r="H540" s="13"/>
      <c r="I540" s="14"/>
      <c r="J540" s="13" t="str">
        <f ca="1">IFERROR(__xludf.DUMMYFUNCTION("IF(I536="""", """", RANK(I536, FILTER(I:I, I:I&lt;&gt;""""), 1))
"),"")</f>
        <v/>
      </c>
    </row>
    <row r="541" spans="1:10" ht="22.5" customHeight="1">
      <c r="A541" s="68"/>
      <c r="B541" s="20"/>
      <c r="C541" s="13"/>
      <c r="D541" s="13"/>
      <c r="E541" s="66"/>
      <c r="F541" s="67"/>
      <c r="G541" s="67"/>
      <c r="H541" s="20"/>
      <c r="I541" s="27"/>
      <c r="J541" s="20" t="str">
        <f ca="1">IFERROR(__xludf.DUMMYFUNCTION("IF(I537="""", """", RANK(I537, FILTER(I:I, I:I&lt;&gt;""""), 1))
"),"")</f>
        <v/>
      </c>
    </row>
    <row r="542" spans="1:10" ht="22.5" customHeight="1">
      <c r="A542" s="65"/>
      <c r="B542" s="13"/>
      <c r="C542" s="20"/>
      <c r="D542" s="20"/>
      <c r="E542" s="69"/>
      <c r="F542" s="70"/>
      <c r="G542" s="70"/>
      <c r="H542" s="13"/>
      <c r="I542" s="14"/>
      <c r="J542" s="13" t="str">
        <f ca="1">IFERROR(__xludf.DUMMYFUNCTION("IF(I538="""", """", RANK(I538, FILTER(I:I, I:I&lt;&gt;""""), 1))
"),"")</f>
        <v/>
      </c>
    </row>
    <row r="543" spans="1:10" ht="22.5" customHeight="1">
      <c r="A543" s="68"/>
      <c r="B543" s="20"/>
      <c r="C543" s="13"/>
      <c r="D543" s="13"/>
      <c r="E543" s="66"/>
      <c r="F543" s="67"/>
      <c r="G543" s="67"/>
      <c r="H543" s="20"/>
      <c r="I543" s="27"/>
      <c r="J543" s="20" t="str">
        <f ca="1">IFERROR(__xludf.DUMMYFUNCTION("IF(I539="""", """", RANK(I539, FILTER(I:I, I:I&lt;&gt;""""), 1))
"),"")</f>
        <v/>
      </c>
    </row>
    <row r="544" spans="1:10" ht="22.5" customHeight="1">
      <c r="A544" s="65"/>
      <c r="B544" s="13"/>
      <c r="C544" s="20"/>
      <c r="D544" s="20"/>
      <c r="E544" s="69"/>
      <c r="F544" s="70"/>
      <c r="G544" s="70"/>
      <c r="H544" s="13"/>
      <c r="I544" s="14"/>
      <c r="J544" s="13" t="str">
        <f ca="1">IFERROR(__xludf.DUMMYFUNCTION("IF(I540="""", """", RANK(I540, FILTER(I:I, I:I&lt;&gt;""""), 1))
"),"")</f>
        <v/>
      </c>
    </row>
    <row r="545" spans="1:10" ht="22.5" customHeight="1">
      <c r="A545" s="68"/>
      <c r="B545" s="20"/>
      <c r="C545" s="13"/>
      <c r="D545" s="13"/>
      <c r="E545" s="66"/>
      <c r="F545" s="67"/>
      <c r="G545" s="67"/>
      <c r="H545" s="20"/>
      <c r="I545" s="27"/>
      <c r="J545" s="20" t="str">
        <f ca="1">IFERROR(__xludf.DUMMYFUNCTION("IF(I541="""", """", RANK(I541, FILTER(I:I, I:I&lt;&gt;""""), 1))
"),"")</f>
        <v/>
      </c>
    </row>
    <row r="546" spans="1:10" ht="22.5" customHeight="1">
      <c r="A546" s="65"/>
      <c r="B546" s="13"/>
      <c r="C546" s="20"/>
      <c r="D546" s="20"/>
      <c r="E546" s="69"/>
      <c r="F546" s="70"/>
      <c r="G546" s="70"/>
      <c r="H546" s="13"/>
      <c r="I546" s="14"/>
      <c r="J546" s="13" t="str">
        <f ca="1">IFERROR(__xludf.DUMMYFUNCTION("IF(I542="""", """", RANK(I542, FILTER(I:I, I:I&lt;&gt;""""), 1))
"),"")</f>
        <v/>
      </c>
    </row>
    <row r="547" spans="1:10" ht="22.5" customHeight="1">
      <c r="A547" s="68"/>
      <c r="B547" s="20"/>
      <c r="C547" s="13"/>
      <c r="D547" s="13"/>
      <c r="E547" s="66"/>
      <c r="F547" s="67"/>
      <c r="G547" s="67"/>
      <c r="H547" s="20"/>
      <c r="I547" s="27"/>
      <c r="J547" s="20" t="str">
        <f ca="1">IFERROR(__xludf.DUMMYFUNCTION("IF(I543="""", """", RANK(I543, FILTER(I:I, I:I&lt;&gt;""""), 1))
"),"")</f>
        <v/>
      </c>
    </row>
    <row r="548" spans="1:10" ht="22.5" customHeight="1">
      <c r="A548" s="65"/>
      <c r="B548" s="13"/>
      <c r="C548" s="20"/>
      <c r="D548" s="20"/>
      <c r="E548" s="69"/>
      <c r="F548" s="70"/>
      <c r="G548" s="70"/>
      <c r="H548" s="13"/>
      <c r="I548" s="14"/>
      <c r="J548" s="13" t="str">
        <f ca="1">IFERROR(__xludf.DUMMYFUNCTION("IF(I544="""", """", RANK(I544, FILTER(I:I, I:I&lt;&gt;""""), 1))
"),"")</f>
        <v/>
      </c>
    </row>
    <row r="549" spans="1:10" ht="22.5" customHeight="1">
      <c r="A549" s="68"/>
      <c r="B549" s="20"/>
      <c r="C549" s="13"/>
      <c r="D549" s="13"/>
      <c r="E549" s="66"/>
      <c r="F549" s="67"/>
      <c r="G549" s="67"/>
      <c r="H549" s="20"/>
      <c r="I549" s="27"/>
      <c r="J549" s="20" t="str">
        <f ca="1">IFERROR(__xludf.DUMMYFUNCTION("IF(I545="""", """", RANK(I545, FILTER(I:I, I:I&lt;&gt;""""), 1))
"),"")</f>
        <v/>
      </c>
    </row>
    <row r="550" spans="1:10" ht="22.5" customHeight="1">
      <c r="A550" s="65"/>
      <c r="B550" s="13"/>
      <c r="C550" s="20"/>
      <c r="D550" s="20"/>
      <c r="E550" s="69"/>
      <c r="F550" s="70"/>
      <c r="G550" s="70"/>
      <c r="H550" s="13"/>
      <c r="I550" s="14"/>
      <c r="J550" s="13" t="str">
        <f ca="1">IFERROR(__xludf.DUMMYFUNCTION("IF(I546="""", """", RANK(I546, FILTER(I:I, I:I&lt;&gt;""""), 1))
"),"")</f>
        <v/>
      </c>
    </row>
    <row r="551" spans="1:10" ht="22.5" customHeight="1">
      <c r="A551" s="68"/>
      <c r="B551" s="20"/>
      <c r="C551" s="13"/>
      <c r="D551" s="13"/>
      <c r="E551" s="66"/>
      <c r="F551" s="67"/>
      <c r="G551" s="67"/>
      <c r="H551" s="20"/>
      <c r="I551" s="27"/>
      <c r="J551" s="20" t="str">
        <f ca="1">IFERROR(__xludf.DUMMYFUNCTION("IF(I547="""", """", RANK(I547, FILTER(I:I, I:I&lt;&gt;""""), 1))
"),"")</f>
        <v/>
      </c>
    </row>
    <row r="552" spans="1:10" ht="22.5" customHeight="1">
      <c r="A552" s="65"/>
      <c r="B552" s="13"/>
      <c r="C552" s="20"/>
      <c r="D552" s="20"/>
      <c r="E552" s="69"/>
      <c r="F552" s="70"/>
      <c r="G552" s="70"/>
      <c r="H552" s="13"/>
      <c r="I552" s="14"/>
      <c r="J552" s="13" t="str">
        <f ca="1">IFERROR(__xludf.DUMMYFUNCTION("IF(I548="""", """", RANK(I548, FILTER(I:I, I:I&lt;&gt;""""), 1))
"),"")</f>
        <v/>
      </c>
    </row>
    <row r="553" spans="1:10" ht="22.5" customHeight="1">
      <c r="A553" s="68"/>
      <c r="B553" s="20"/>
      <c r="C553" s="13"/>
      <c r="D553" s="13"/>
      <c r="E553" s="66"/>
      <c r="F553" s="67"/>
      <c r="G553" s="67"/>
      <c r="H553" s="20"/>
      <c r="I553" s="27"/>
      <c r="J553" s="20" t="str">
        <f ca="1">IFERROR(__xludf.DUMMYFUNCTION("IF(I549="""", """", RANK(I549, FILTER(I:I, I:I&lt;&gt;""""), 1))
"),"")</f>
        <v/>
      </c>
    </row>
    <row r="554" spans="1:10" ht="22.5" customHeight="1">
      <c r="A554" s="65"/>
      <c r="B554" s="13"/>
      <c r="C554" s="20"/>
      <c r="D554" s="20"/>
      <c r="E554" s="69"/>
      <c r="F554" s="70"/>
      <c r="G554" s="70"/>
      <c r="H554" s="13"/>
      <c r="I554" s="14"/>
      <c r="J554" s="13" t="str">
        <f ca="1">IFERROR(__xludf.DUMMYFUNCTION("IF(I550="""", """", RANK(I550, FILTER(I:I, I:I&lt;&gt;""""), 1))
"),"")</f>
        <v/>
      </c>
    </row>
    <row r="555" spans="1:10" ht="22.5" customHeight="1">
      <c r="A555" s="68"/>
      <c r="B555" s="20"/>
      <c r="C555" s="13"/>
      <c r="D555" s="13"/>
      <c r="E555" s="66"/>
      <c r="F555" s="67"/>
      <c r="G555" s="67"/>
      <c r="H555" s="20"/>
      <c r="I555" s="27"/>
      <c r="J555" s="20" t="str">
        <f ca="1">IFERROR(__xludf.DUMMYFUNCTION("IF(I551="""", """", RANK(I551, FILTER(I:I, I:I&lt;&gt;""""), 1))
"),"")</f>
        <v/>
      </c>
    </row>
    <row r="556" spans="1:10" ht="22.5" customHeight="1">
      <c r="A556" s="65"/>
      <c r="B556" s="13"/>
      <c r="C556" s="20"/>
      <c r="D556" s="20"/>
      <c r="E556" s="69"/>
      <c r="F556" s="70"/>
      <c r="G556" s="70"/>
      <c r="H556" s="13"/>
      <c r="I556" s="14"/>
      <c r="J556" s="13" t="str">
        <f ca="1">IFERROR(__xludf.DUMMYFUNCTION("IF(I552="""", """", RANK(I552, FILTER(I:I, I:I&lt;&gt;""""), 1))
"),"")</f>
        <v/>
      </c>
    </row>
    <row r="557" spans="1:10" ht="22.5" customHeight="1">
      <c r="A557" s="68"/>
      <c r="B557" s="20"/>
      <c r="C557" s="13"/>
      <c r="D557" s="13"/>
      <c r="E557" s="66"/>
      <c r="F557" s="67"/>
      <c r="G557" s="67"/>
      <c r="H557" s="20"/>
      <c r="I557" s="27"/>
      <c r="J557" s="20" t="str">
        <f ca="1">IFERROR(__xludf.DUMMYFUNCTION("IF(I553="""", """", RANK(I553, FILTER(I:I, I:I&lt;&gt;""""), 1))
"),"")</f>
        <v/>
      </c>
    </row>
    <row r="558" spans="1:10" ht="22.5" customHeight="1">
      <c r="A558" s="65"/>
      <c r="B558" s="13"/>
      <c r="C558" s="20"/>
      <c r="D558" s="20"/>
      <c r="E558" s="69"/>
      <c r="F558" s="70"/>
      <c r="G558" s="70"/>
      <c r="H558" s="13"/>
      <c r="I558" s="14"/>
      <c r="J558" s="13" t="str">
        <f ca="1">IFERROR(__xludf.DUMMYFUNCTION("IF(I554="""", """", RANK(I554, FILTER(I:I, I:I&lt;&gt;""""), 1))
"),"")</f>
        <v/>
      </c>
    </row>
    <row r="559" spans="1:10" ht="22.5" customHeight="1">
      <c r="A559" s="68"/>
      <c r="B559" s="20"/>
      <c r="C559" s="13"/>
      <c r="D559" s="13"/>
      <c r="E559" s="66"/>
      <c r="F559" s="67"/>
      <c r="G559" s="67"/>
      <c r="H559" s="20"/>
      <c r="I559" s="27"/>
      <c r="J559" s="20" t="str">
        <f ca="1">IFERROR(__xludf.DUMMYFUNCTION("IF(I555="""", """", RANK(I555, FILTER(I:I, I:I&lt;&gt;""""), 1))
"),"")</f>
        <v/>
      </c>
    </row>
    <row r="560" spans="1:10" ht="22.5" customHeight="1">
      <c r="A560" s="65"/>
      <c r="B560" s="13"/>
      <c r="C560" s="20"/>
      <c r="D560" s="20"/>
      <c r="E560" s="69"/>
      <c r="F560" s="70"/>
      <c r="G560" s="70"/>
      <c r="H560" s="13"/>
      <c r="I560" s="14"/>
      <c r="J560" s="13" t="str">
        <f ca="1">IFERROR(__xludf.DUMMYFUNCTION("IF(I556="""", """", RANK(I556, FILTER(I:I, I:I&lt;&gt;""""), 1))
"),"")</f>
        <v/>
      </c>
    </row>
    <row r="561" spans="1:10" ht="22.5" customHeight="1">
      <c r="A561" s="68"/>
      <c r="B561" s="20"/>
      <c r="C561" s="13"/>
      <c r="D561" s="13"/>
      <c r="E561" s="66"/>
      <c r="F561" s="67"/>
      <c r="G561" s="67"/>
      <c r="H561" s="20"/>
      <c r="I561" s="27"/>
      <c r="J561" s="20" t="str">
        <f ca="1">IFERROR(__xludf.DUMMYFUNCTION("IF(I557="""", """", RANK(I557, FILTER(I:I, I:I&lt;&gt;""""), 1))
"),"")</f>
        <v/>
      </c>
    </row>
    <row r="562" spans="1:10" ht="22.5" customHeight="1">
      <c r="A562" s="65"/>
      <c r="B562" s="13"/>
      <c r="C562" s="20"/>
      <c r="D562" s="20"/>
      <c r="E562" s="69"/>
      <c r="F562" s="70"/>
      <c r="G562" s="70"/>
      <c r="H562" s="13"/>
      <c r="I562" s="14"/>
      <c r="J562" s="13" t="str">
        <f ca="1">IFERROR(__xludf.DUMMYFUNCTION("IF(I558="""", """", RANK(I558, FILTER(I:I, I:I&lt;&gt;""""), 1))
"),"")</f>
        <v/>
      </c>
    </row>
    <row r="563" spans="1:10" ht="22.5" customHeight="1">
      <c r="A563" s="68"/>
      <c r="B563" s="20"/>
      <c r="C563" s="13"/>
      <c r="D563" s="13"/>
      <c r="E563" s="66"/>
      <c r="F563" s="67"/>
      <c r="G563" s="67"/>
      <c r="H563" s="20"/>
      <c r="I563" s="27"/>
      <c r="J563" s="20" t="str">
        <f ca="1">IFERROR(__xludf.DUMMYFUNCTION("IF(I559="""", """", RANK(I559, FILTER(I:I, I:I&lt;&gt;""""), 1))
"),"")</f>
        <v/>
      </c>
    </row>
    <row r="564" spans="1:10" ht="22.5" customHeight="1">
      <c r="A564" s="65"/>
      <c r="B564" s="13"/>
      <c r="C564" s="20"/>
      <c r="D564" s="20"/>
      <c r="E564" s="69"/>
      <c r="F564" s="70"/>
      <c r="G564" s="70"/>
      <c r="H564" s="13"/>
      <c r="I564" s="14"/>
      <c r="J564" s="13" t="str">
        <f ca="1">IFERROR(__xludf.DUMMYFUNCTION("IF(I560="""", """", RANK(I560, FILTER(I:I, I:I&lt;&gt;""""), 1))
"),"")</f>
        <v/>
      </c>
    </row>
    <row r="565" spans="1:10" ht="22.5" customHeight="1">
      <c r="A565" s="68"/>
      <c r="B565" s="20"/>
      <c r="C565" s="13"/>
      <c r="D565" s="13"/>
      <c r="E565" s="66"/>
      <c r="F565" s="67"/>
      <c r="G565" s="67"/>
      <c r="H565" s="20"/>
      <c r="I565" s="27"/>
      <c r="J565" s="20" t="str">
        <f ca="1">IFERROR(__xludf.DUMMYFUNCTION("IF(I561="""", """", RANK(I561, FILTER(I:I, I:I&lt;&gt;""""), 1))
"),"")</f>
        <v/>
      </c>
    </row>
    <row r="566" spans="1:10" ht="22.5" customHeight="1">
      <c r="A566" s="65"/>
      <c r="B566" s="13"/>
      <c r="C566" s="20"/>
      <c r="D566" s="20"/>
      <c r="E566" s="69"/>
      <c r="F566" s="70"/>
      <c r="G566" s="70"/>
      <c r="H566" s="13"/>
      <c r="I566" s="14"/>
      <c r="J566" s="13" t="str">
        <f ca="1">IFERROR(__xludf.DUMMYFUNCTION("IF(I562="""", """", RANK(I562, FILTER(I:I, I:I&lt;&gt;""""), 1))
"),"")</f>
        <v/>
      </c>
    </row>
    <row r="567" spans="1:10" ht="22.5" customHeight="1">
      <c r="A567" s="68"/>
      <c r="B567" s="20"/>
      <c r="C567" s="13"/>
      <c r="D567" s="13"/>
      <c r="E567" s="66"/>
      <c r="F567" s="67"/>
      <c r="G567" s="67"/>
      <c r="H567" s="20"/>
      <c r="I567" s="27"/>
      <c r="J567" s="20" t="str">
        <f ca="1">IFERROR(__xludf.DUMMYFUNCTION("IF(I563="""", """", RANK(I563, FILTER(I:I, I:I&lt;&gt;""""), 1))
"),"")</f>
        <v/>
      </c>
    </row>
    <row r="568" spans="1:10" ht="22.5" customHeight="1">
      <c r="A568" s="65"/>
      <c r="B568" s="13"/>
      <c r="C568" s="20"/>
      <c r="D568" s="20"/>
      <c r="E568" s="69"/>
      <c r="F568" s="70"/>
      <c r="G568" s="70"/>
      <c r="H568" s="13"/>
      <c r="I568" s="14"/>
      <c r="J568" s="13" t="str">
        <f ca="1">IFERROR(__xludf.DUMMYFUNCTION("IF(I564="""", """", RANK(I564, FILTER(I:I, I:I&lt;&gt;""""), 1))
"),"")</f>
        <v/>
      </c>
    </row>
    <row r="569" spans="1:10" ht="22.5" customHeight="1">
      <c r="A569" s="68"/>
      <c r="B569" s="20"/>
      <c r="C569" s="13"/>
      <c r="D569" s="13"/>
      <c r="E569" s="66"/>
      <c r="F569" s="67"/>
      <c r="G569" s="67"/>
      <c r="H569" s="20"/>
      <c r="I569" s="27"/>
      <c r="J569" s="20" t="str">
        <f ca="1">IFERROR(__xludf.DUMMYFUNCTION("IF(I565="""", """", RANK(I565, FILTER(I:I, I:I&lt;&gt;""""), 1))
"),"")</f>
        <v/>
      </c>
    </row>
    <row r="570" spans="1:10" ht="22.5" customHeight="1">
      <c r="A570" s="65"/>
      <c r="B570" s="13"/>
      <c r="C570" s="20"/>
      <c r="D570" s="20"/>
      <c r="E570" s="69"/>
      <c r="F570" s="70"/>
      <c r="G570" s="70"/>
      <c r="H570" s="13"/>
      <c r="I570" s="14"/>
      <c r="J570" s="13" t="str">
        <f ca="1">IFERROR(__xludf.DUMMYFUNCTION("IF(I566="""", """", RANK(I566, FILTER(I:I, I:I&lt;&gt;""""), 1))
"),"")</f>
        <v/>
      </c>
    </row>
    <row r="571" spans="1:10" ht="22.5" customHeight="1">
      <c r="A571" s="68"/>
      <c r="B571" s="20"/>
      <c r="C571" s="13"/>
      <c r="D571" s="13"/>
      <c r="E571" s="66"/>
      <c r="F571" s="67"/>
      <c r="G571" s="67"/>
      <c r="H571" s="20"/>
      <c r="I571" s="27"/>
      <c r="J571" s="20" t="str">
        <f ca="1">IFERROR(__xludf.DUMMYFUNCTION("IF(I567="""", """", RANK(I567, FILTER(I:I, I:I&lt;&gt;""""), 1))
"),"")</f>
        <v/>
      </c>
    </row>
    <row r="572" spans="1:10" ht="22.5" customHeight="1">
      <c r="A572" s="65"/>
      <c r="B572" s="13"/>
      <c r="C572" s="20"/>
      <c r="D572" s="20"/>
      <c r="E572" s="69"/>
      <c r="F572" s="70"/>
      <c r="G572" s="70"/>
      <c r="H572" s="13"/>
      <c r="I572" s="14"/>
      <c r="J572" s="13" t="str">
        <f ca="1">IFERROR(__xludf.DUMMYFUNCTION("IF(I568="""", """", RANK(I568, FILTER(I:I, I:I&lt;&gt;""""), 1))
"),"")</f>
        <v/>
      </c>
    </row>
    <row r="573" spans="1:10" ht="22.5" customHeight="1">
      <c r="A573" s="68"/>
      <c r="B573" s="20"/>
      <c r="C573" s="13"/>
      <c r="D573" s="13"/>
      <c r="E573" s="66"/>
      <c r="F573" s="67"/>
      <c r="G573" s="67"/>
      <c r="H573" s="20"/>
      <c r="I573" s="27"/>
      <c r="J573" s="20" t="str">
        <f ca="1">IFERROR(__xludf.DUMMYFUNCTION("IF(I569="""", """", RANK(I569, FILTER(I:I, I:I&lt;&gt;""""), 1))
"),"")</f>
        <v/>
      </c>
    </row>
    <row r="574" spans="1:10" ht="22.5" customHeight="1">
      <c r="A574" s="65"/>
      <c r="B574" s="13"/>
      <c r="C574" s="20"/>
      <c r="D574" s="20"/>
      <c r="E574" s="69"/>
      <c r="F574" s="70"/>
      <c r="G574" s="70"/>
      <c r="H574" s="13"/>
      <c r="I574" s="14"/>
      <c r="J574" s="13" t="str">
        <f ca="1">IFERROR(__xludf.DUMMYFUNCTION("IF(I570="""", """", RANK(I570, FILTER(I:I, I:I&lt;&gt;""""), 1))
"),"")</f>
        <v/>
      </c>
    </row>
    <row r="575" spans="1:10" ht="22.5" customHeight="1">
      <c r="A575" s="68"/>
      <c r="B575" s="20"/>
      <c r="C575" s="13"/>
      <c r="D575" s="13"/>
      <c r="E575" s="66"/>
      <c r="F575" s="67"/>
      <c r="G575" s="67"/>
      <c r="H575" s="20"/>
      <c r="I575" s="27"/>
      <c r="J575" s="20" t="str">
        <f ca="1">IFERROR(__xludf.DUMMYFUNCTION("IF(I571="""", """", RANK(I571, FILTER(I:I, I:I&lt;&gt;""""), 1))
"),"")</f>
        <v/>
      </c>
    </row>
    <row r="576" spans="1:10" ht="22.5" customHeight="1">
      <c r="A576" s="65"/>
      <c r="B576" s="13"/>
      <c r="C576" s="20"/>
      <c r="D576" s="20"/>
      <c r="E576" s="69"/>
      <c r="F576" s="70"/>
      <c r="G576" s="70"/>
      <c r="H576" s="13"/>
      <c r="I576" s="14"/>
      <c r="J576" s="13" t="str">
        <f ca="1">IFERROR(__xludf.DUMMYFUNCTION("IF(I572="""", """", RANK(I572, FILTER(I:I, I:I&lt;&gt;""""), 1))
"),"")</f>
        <v/>
      </c>
    </row>
    <row r="577" spans="1:10" ht="22.5" customHeight="1">
      <c r="A577" s="68"/>
      <c r="B577" s="20"/>
      <c r="C577" s="13"/>
      <c r="D577" s="13"/>
      <c r="E577" s="66"/>
      <c r="F577" s="67"/>
      <c r="G577" s="67"/>
      <c r="H577" s="20"/>
      <c r="I577" s="27"/>
      <c r="J577" s="20" t="str">
        <f ca="1">IFERROR(__xludf.DUMMYFUNCTION("IF(I573="""", """", RANK(I573, FILTER(I:I, I:I&lt;&gt;""""), 1))
"),"")</f>
        <v/>
      </c>
    </row>
    <row r="578" spans="1:10" ht="22.5" customHeight="1">
      <c r="A578" s="65"/>
      <c r="B578" s="13"/>
      <c r="C578" s="20"/>
      <c r="D578" s="20"/>
      <c r="E578" s="69"/>
      <c r="F578" s="70"/>
      <c r="G578" s="70"/>
      <c r="H578" s="13"/>
      <c r="I578" s="14"/>
      <c r="J578" s="13" t="str">
        <f ca="1">IFERROR(__xludf.DUMMYFUNCTION("IF(I574="""", """", RANK(I574, FILTER(I:I, I:I&lt;&gt;""""), 1))
"),"")</f>
        <v/>
      </c>
    </row>
    <row r="579" spans="1:10" ht="22.5" customHeight="1">
      <c r="A579" s="68"/>
      <c r="B579" s="20"/>
      <c r="C579" s="13"/>
      <c r="D579" s="13"/>
      <c r="E579" s="66"/>
      <c r="F579" s="67"/>
      <c r="G579" s="67"/>
      <c r="H579" s="20"/>
      <c r="I579" s="27"/>
      <c r="J579" s="20" t="str">
        <f ca="1">IFERROR(__xludf.DUMMYFUNCTION("IF(I575="""", """", RANK(I575, FILTER(I:I, I:I&lt;&gt;""""), 1))
"),"")</f>
        <v/>
      </c>
    </row>
    <row r="580" spans="1:10" ht="22.5" customHeight="1">
      <c r="A580" s="65"/>
      <c r="B580" s="13"/>
      <c r="C580" s="20"/>
      <c r="D580" s="20"/>
      <c r="E580" s="69"/>
      <c r="F580" s="70"/>
      <c r="G580" s="70"/>
      <c r="H580" s="13"/>
      <c r="I580" s="14"/>
      <c r="J580" s="13" t="str">
        <f ca="1">IFERROR(__xludf.DUMMYFUNCTION("IF(I576="""", """", RANK(I576, FILTER(I:I, I:I&lt;&gt;""""), 1))
"),"")</f>
        <v/>
      </c>
    </row>
    <row r="581" spans="1:10" ht="22.5" customHeight="1">
      <c r="A581" s="68"/>
      <c r="B581" s="20"/>
      <c r="C581" s="13"/>
      <c r="D581" s="13"/>
      <c r="E581" s="66"/>
      <c r="F581" s="67"/>
      <c r="G581" s="67"/>
      <c r="H581" s="20"/>
      <c r="I581" s="27"/>
      <c r="J581" s="20" t="str">
        <f ca="1">IFERROR(__xludf.DUMMYFUNCTION("IF(I577="""", """", RANK(I577, FILTER(I:I, I:I&lt;&gt;""""), 1))
"),"")</f>
        <v/>
      </c>
    </row>
    <row r="582" spans="1:10" ht="22.5" customHeight="1">
      <c r="A582" s="65"/>
      <c r="B582" s="13"/>
      <c r="C582" s="20"/>
      <c r="D582" s="20"/>
      <c r="E582" s="69"/>
      <c r="F582" s="70"/>
      <c r="G582" s="70"/>
      <c r="H582" s="13"/>
      <c r="I582" s="14"/>
      <c r="J582" s="13" t="str">
        <f ca="1">IFERROR(__xludf.DUMMYFUNCTION("IF(I578="""", """", RANK(I578, FILTER(I:I, I:I&lt;&gt;""""), 1))
"),"")</f>
        <v/>
      </c>
    </row>
    <row r="583" spans="1:10" ht="22.5" customHeight="1">
      <c r="A583" s="68"/>
      <c r="B583" s="20"/>
      <c r="C583" s="13"/>
      <c r="D583" s="13"/>
      <c r="E583" s="66"/>
      <c r="F583" s="67"/>
      <c r="G583" s="67"/>
      <c r="H583" s="20"/>
      <c r="I583" s="27"/>
      <c r="J583" s="20" t="str">
        <f ca="1">IFERROR(__xludf.DUMMYFUNCTION("IF(I579="""", """", RANK(I579, FILTER(I:I, I:I&lt;&gt;""""), 1))
"),"")</f>
        <v/>
      </c>
    </row>
    <row r="584" spans="1:10" ht="22.5" customHeight="1">
      <c r="A584" s="65"/>
      <c r="B584" s="13"/>
      <c r="C584" s="20"/>
      <c r="D584" s="20"/>
      <c r="E584" s="69"/>
      <c r="F584" s="70"/>
      <c r="G584" s="70"/>
      <c r="H584" s="13"/>
      <c r="I584" s="14"/>
      <c r="J584" s="13" t="str">
        <f ca="1">IFERROR(__xludf.DUMMYFUNCTION("IF(I580="""", """", RANK(I580, FILTER(I:I, I:I&lt;&gt;""""), 1))
"),"")</f>
        <v/>
      </c>
    </row>
    <row r="585" spans="1:10" ht="22.5" customHeight="1">
      <c r="A585" s="68"/>
      <c r="B585" s="20"/>
      <c r="C585" s="13"/>
      <c r="D585" s="13"/>
      <c r="E585" s="66"/>
      <c r="F585" s="67"/>
      <c r="G585" s="67"/>
      <c r="H585" s="20"/>
      <c r="I585" s="27"/>
      <c r="J585" s="20" t="str">
        <f ca="1">IFERROR(__xludf.DUMMYFUNCTION("IF(I581="""", """", RANK(I581, FILTER(I:I, I:I&lt;&gt;""""), 1))
"),"")</f>
        <v/>
      </c>
    </row>
    <row r="586" spans="1:10" ht="22.5" customHeight="1">
      <c r="A586" s="65"/>
      <c r="B586" s="13"/>
      <c r="C586" s="20"/>
      <c r="D586" s="20"/>
      <c r="E586" s="69"/>
      <c r="F586" s="70"/>
      <c r="G586" s="70"/>
      <c r="H586" s="13"/>
      <c r="I586" s="14"/>
      <c r="J586" s="13" t="str">
        <f ca="1">IFERROR(__xludf.DUMMYFUNCTION("IF(I582="""", """", RANK(I582, FILTER(I:I, I:I&lt;&gt;""""), 1))
"),"")</f>
        <v/>
      </c>
    </row>
    <row r="587" spans="1:10" ht="22.5" customHeight="1">
      <c r="A587" s="68"/>
      <c r="B587" s="20"/>
      <c r="C587" s="13"/>
      <c r="D587" s="13"/>
      <c r="E587" s="66"/>
      <c r="F587" s="67"/>
      <c r="G587" s="67"/>
      <c r="H587" s="20"/>
      <c r="I587" s="27"/>
      <c r="J587" s="20" t="str">
        <f ca="1">IFERROR(__xludf.DUMMYFUNCTION("IF(I583="""", """", RANK(I583, FILTER(I:I, I:I&lt;&gt;""""), 1))
"),"")</f>
        <v/>
      </c>
    </row>
    <row r="588" spans="1:10" ht="22.5" customHeight="1">
      <c r="A588" s="65"/>
      <c r="B588" s="13"/>
      <c r="C588" s="20"/>
      <c r="D588" s="20"/>
      <c r="E588" s="69"/>
      <c r="F588" s="70"/>
      <c r="G588" s="70"/>
      <c r="H588" s="13"/>
      <c r="I588" s="14"/>
      <c r="J588" s="13" t="str">
        <f ca="1">IFERROR(__xludf.DUMMYFUNCTION("IF(I584="""", """", RANK(I584, FILTER(I:I, I:I&lt;&gt;""""), 1))
"),"")</f>
        <v/>
      </c>
    </row>
    <row r="589" spans="1:10" ht="22.5" customHeight="1">
      <c r="A589" s="68"/>
      <c r="B589" s="20"/>
      <c r="C589" s="13"/>
      <c r="D589" s="13"/>
      <c r="E589" s="66"/>
      <c r="F589" s="67"/>
      <c r="G589" s="67"/>
      <c r="H589" s="20"/>
      <c r="I589" s="27"/>
      <c r="J589" s="20" t="str">
        <f ca="1">IFERROR(__xludf.DUMMYFUNCTION("IF(I585="""", """", RANK(I585, FILTER(I:I, I:I&lt;&gt;""""), 1))
"),"")</f>
        <v/>
      </c>
    </row>
    <row r="590" spans="1:10" ht="22.5" customHeight="1">
      <c r="A590" s="65"/>
      <c r="B590" s="13"/>
      <c r="C590" s="20"/>
      <c r="D590" s="20"/>
      <c r="E590" s="69"/>
      <c r="F590" s="70"/>
      <c r="G590" s="70"/>
      <c r="H590" s="13"/>
      <c r="I590" s="14"/>
      <c r="J590" s="13" t="str">
        <f ca="1">IFERROR(__xludf.DUMMYFUNCTION("IF(I586="""", """", RANK(I586, FILTER(I:I, I:I&lt;&gt;""""), 1))
"),"")</f>
        <v/>
      </c>
    </row>
    <row r="591" spans="1:10" ht="22.5" customHeight="1">
      <c r="A591" s="68"/>
      <c r="B591" s="20"/>
      <c r="C591" s="13"/>
      <c r="D591" s="13"/>
      <c r="E591" s="66"/>
      <c r="F591" s="67"/>
      <c r="G591" s="67"/>
      <c r="H591" s="20"/>
      <c r="I591" s="27"/>
      <c r="J591" s="20" t="str">
        <f ca="1">IFERROR(__xludf.DUMMYFUNCTION("IF(I587="""", """", RANK(I587, FILTER(I:I, I:I&lt;&gt;""""), 1))
"),"")</f>
        <v/>
      </c>
    </row>
    <row r="592" spans="1:10" ht="22.5" customHeight="1">
      <c r="A592" s="65"/>
      <c r="B592" s="13"/>
      <c r="C592" s="20"/>
      <c r="D592" s="20"/>
      <c r="E592" s="69"/>
      <c r="F592" s="70"/>
      <c r="G592" s="70"/>
      <c r="H592" s="13"/>
      <c r="I592" s="14"/>
      <c r="J592" s="13" t="str">
        <f ca="1">IFERROR(__xludf.DUMMYFUNCTION("IF(I588="""", """", RANK(I588, FILTER(I:I, I:I&lt;&gt;""""), 1))
"),"")</f>
        <v/>
      </c>
    </row>
    <row r="593" spans="1:10" ht="22.5" customHeight="1">
      <c r="A593" s="68"/>
      <c r="B593" s="20"/>
      <c r="C593" s="13"/>
      <c r="D593" s="13"/>
      <c r="E593" s="66"/>
      <c r="F593" s="67"/>
      <c r="G593" s="67"/>
      <c r="H593" s="20"/>
      <c r="I593" s="27"/>
      <c r="J593" s="20" t="str">
        <f ca="1">IFERROR(__xludf.DUMMYFUNCTION("IF(I589="""", """", RANK(I589, FILTER(I:I, I:I&lt;&gt;""""), 1))
"),"")</f>
        <v/>
      </c>
    </row>
    <row r="594" spans="1:10" ht="22.5" customHeight="1">
      <c r="A594" s="65"/>
      <c r="B594" s="13"/>
      <c r="C594" s="20"/>
      <c r="D594" s="20"/>
      <c r="E594" s="69"/>
      <c r="F594" s="70"/>
      <c r="G594" s="70"/>
      <c r="H594" s="13"/>
      <c r="I594" s="14"/>
      <c r="J594" s="13" t="str">
        <f ca="1">IFERROR(__xludf.DUMMYFUNCTION("IF(I590="""", """", RANK(I590, FILTER(I:I, I:I&lt;&gt;""""), 1))
"),"")</f>
        <v/>
      </c>
    </row>
    <row r="595" spans="1:10" ht="22.5" customHeight="1">
      <c r="A595" s="68"/>
      <c r="B595" s="20"/>
      <c r="C595" s="13"/>
      <c r="D595" s="13"/>
      <c r="E595" s="66"/>
      <c r="F595" s="67"/>
      <c r="G595" s="67"/>
      <c r="H595" s="20"/>
      <c r="I595" s="27"/>
      <c r="J595" s="20" t="str">
        <f ca="1">IFERROR(__xludf.DUMMYFUNCTION("IF(I591="""", """", RANK(I591, FILTER(I:I, I:I&lt;&gt;""""), 1))
"),"")</f>
        <v/>
      </c>
    </row>
    <row r="596" spans="1:10" ht="22.5" customHeight="1">
      <c r="A596" s="65"/>
      <c r="B596" s="13"/>
      <c r="C596" s="20"/>
      <c r="D596" s="20"/>
      <c r="E596" s="69"/>
      <c r="F596" s="70"/>
      <c r="G596" s="70"/>
      <c r="H596" s="13"/>
      <c r="I596" s="14"/>
      <c r="J596" s="13" t="str">
        <f ca="1">IFERROR(__xludf.DUMMYFUNCTION("IF(I592="""", """", RANK(I592, FILTER(I:I, I:I&lt;&gt;""""), 1))
"),"")</f>
        <v/>
      </c>
    </row>
    <row r="597" spans="1:10" ht="22.5" customHeight="1">
      <c r="A597" s="68"/>
      <c r="B597" s="20"/>
      <c r="C597" s="13"/>
      <c r="D597" s="13"/>
      <c r="E597" s="66"/>
      <c r="F597" s="67"/>
      <c r="G597" s="67"/>
      <c r="H597" s="20"/>
      <c r="I597" s="27"/>
      <c r="J597" s="20" t="str">
        <f ca="1">IFERROR(__xludf.DUMMYFUNCTION("IF(I593="""", """", RANK(I593, FILTER(I:I, I:I&lt;&gt;""""), 1))
"),"")</f>
        <v/>
      </c>
    </row>
    <row r="598" spans="1:10" ht="22.5" customHeight="1">
      <c r="A598" s="65"/>
      <c r="B598" s="13"/>
      <c r="C598" s="20"/>
      <c r="D598" s="20"/>
      <c r="E598" s="69"/>
      <c r="F598" s="70"/>
      <c r="G598" s="70"/>
      <c r="H598" s="13"/>
      <c r="I598" s="14"/>
      <c r="J598" s="13" t="str">
        <f ca="1">IFERROR(__xludf.DUMMYFUNCTION("IF(I594="""", """", RANK(I594, FILTER(I:I, I:I&lt;&gt;""""), 1))
"),"")</f>
        <v/>
      </c>
    </row>
    <row r="599" spans="1:10" ht="22.5" customHeight="1">
      <c r="A599" s="68"/>
      <c r="B599" s="20"/>
      <c r="C599" s="13"/>
      <c r="D599" s="13"/>
      <c r="E599" s="66"/>
      <c r="F599" s="67"/>
      <c r="G599" s="67"/>
      <c r="H599" s="20"/>
      <c r="I599" s="27"/>
      <c r="J599" s="20" t="str">
        <f ca="1">IFERROR(__xludf.DUMMYFUNCTION("IF(I595="""", """", RANK(I595, FILTER(I:I, I:I&lt;&gt;""""), 1))
"),"")</f>
        <v/>
      </c>
    </row>
    <row r="600" spans="1:10" ht="22.5" customHeight="1">
      <c r="A600" s="65"/>
      <c r="B600" s="13"/>
      <c r="C600" s="20"/>
      <c r="D600" s="20"/>
      <c r="E600" s="69"/>
      <c r="F600" s="70"/>
      <c r="G600" s="70"/>
      <c r="H600" s="13"/>
      <c r="I600" s="14"/>
      <c r="J600" s="13" t="str">
        <f ca="1">IFERROR(__xludf.DUMMYFUNCTION("IF(I596="""", """", RANK(I596, FILTER(I:I, I:I&lt;&gt;""""), 1))
"),"")</f>
        <v/>
      </c>
    </row>
    <row r="601" spans="1:10" ht="22.5" customHeight="1">
      <c r="A601" s="68"/>
      <c r="B601" s="20"/>
      <c r="C601" s="13"/>
      <c r="D601" s="13"/>
      <c r="E601" s="66"/>
      <c r="F601" s="67"/>
      <c r="G601" s="67"/>
      <c r="H601" s="20"/>
      <c r="I601" s="27"/>
      <c r="J601" s="20" t="str">
        <f ca="1">IFERROR(__xludf.DUMMYFUNCTION("IF(I597="""", """", RANK(I597, FILTER(I:I, I:I&lt;&gt;""""), 1))
"),"")</f>
        <v/>
      </c>
    </row>
    <row r="602" spans="1:10" ht="22.5" customHeight="1">
      <c r="A602" s="65"/>
      <c r="B602" s="13"/>
      <c r="C602" s="20"/>
      <c r="D602" s="20"/>
      <c r="E602" s="69"/>
      <c r="F602" s="70"/>
      <c r="G602" s="70"/>
      <c r="H602" s="13"/>
      <c r="I602" s="14"/>
      <c r="J602" s="13" t="str">
        <f ca="1">IFERROR(__xludf.DUMMYFUNCTION("IF(I598="""", """", RANK(I598, FILTER(I:I, I:I&lt;&gt;""""), 1))
"),"")</f>
        <v/>
      </c>
    </row>
    <row r="603" spans="1:10" ht="22.5" customHeight="1">
      <c r="A603" s="68"/>
      <c r="B603" s="20"/>
      <c r="C603" s="13"/>
      <c r="D603" s="13"/>
      <c r="E603" s="66"/>
      <c r="F603" s="67"/>
      <c r="G603" s="67"/>
      <c r="H603" s="20"/>
      <c r="I603" s="27"/>
      <c r="J603" s="20" t="str">
        <f ca="1">IFERROR(__xludf.DUMMYFUNCTION("IF(I599="""", """", RANK(I599, FILTER(I:I, I:I&lt;&gt;""""), 1))
"),"")</f>
        <v/>
      </c>
    </row>
    <row r="604" spans="1:10" ht="22.5" customHeight="1">
      <c r="A604" s="65"/>
      <c r="B604" s="13"/>
      <c r="C604" s="20"/>
      <c r="D604" s="20"/>
      <c r="E604" s="69"/>
      <c r="F604" s="70"/>
      <c r="G604" s="70"/>
      <c r="H604" s="13"/>
      <c r="I604" s="14"/>
      <c r="J604" s="13" t="str">
        <f ca="1">IFERROR(__xludf.DUMMYFUNCTION("IF(I600="""", """", RANK(I600, FILTER(I:I, I:I&lt;&gt;""""), 1))
"),"")</f>
        <v/>
      </c>
    </row>
    <row r="605" spans="1:10" ht="22.5" customHeight="1">
      <c r="A605" s="68"/>
      <c r="B605" s="20"/>
      <c r="C605" s="13"/>
      <c r="D605" s="13"/>
      <c r="E605" s="66"/>
      <c r="F605" s="67"/>
      <c r="G605" s="67"/>
      <c r="H605" s="20"/>
      <c r="I605" s="27"/>
      <c r="J605" s="20" t="str">
        <f ca="1">IFERROR(__xludf.DUMMYFUNCTION("IF(I601="""", """", RANK(I601, FILTER(I:I, I:I&lt;&gt;""""), 1))
"),"")</f>
        <v/>
      </c>
    </row>
    <row r="606" spans="1:10" ht="22.5" customHeight="1">
      <c r="A606" s="65"/>
      <c r="B606" s="13"/>
      <c r="C606" s="20"/>
      <c r="D606" s="20"/>
      <c r="E606" s="69"/>
      <c r="F606" s="70"/>
      <c r="G606" s="70"/>
      <c r="H606" s="13"/>
      <c r="I606" s="14"/>
      <c r="J606" s="13" t="str">
        <f ca="1">IFERROR(__xludf.DUMMYFUNCTION("IF(I602="""", """", RANK(I602, FILTER(I:I, I:I&lt;&gt;""""), 1))
"),"")</f>
        <v/>
      </c>
    </row>
    <row r="607" spans="1:10" ht="22.5" customHeight="1">
      <c r="A607" s="68"/>
      <c r="B607" s="20"/>
      <c r="C607" s="13"/>
      <c r="D607" s="13"/>
      <c r="E607" s="66"/>
      <c r="F607" s="67"/>
      <c r="G607" s="67"/>
      <c r="H607" s="20"/>
      <c r="I607" s="27"/>
      <c r="J607" s="20" t="str">
        <f ca="1">IFERROR(__xludf.DUMMYFUNCTION("IF(I603="""", """", RANK(I603, FILTER(I:I, I:I&lt;&gt;""""), 1))
"),"")</f>
        <v/>
      </c>
    </row>
    <row r="608" spans="1:10" ht="22.5" customHeight="1">
      <c r="A608" s="65"/>
      <c r="B608" s="13"/>
      <c r="C608" s="20"/>
      <c r="D608" s="20"/>
      <c r="E608" s="69"/>
      <c r="F608" s="70"/>
      <c r="G608" s="70"/>
      <c r="H608" s="13"/>
      <c r="I608" s="14"/>
      <c r="J608" s="13" t="str">
        <f ca="1">IFERROR(__xludf.DUMMYFUNCTION("IF(I604="""", """", RANK(I604, FILTER(I:I, I:I&lt;&gt;""""), 1))
"),"")</f>
        <v/>
      </c>
    </row>
    <row r="609" spans="1:10" ht="22.5" customHeight="1">
      <c r="A609" s="68"/>
      <c r="B609" s="20"/>
      <c r="C609" s="13"/>
      <c r="D609" s="13"/>
      <c r="E609" s="66"/>
      <c r="F609" s="67"/>
      <c r="G609" s="67"/>
      <c r="H609" s="20"/>
      <c r="I609" s="27"/>
      <c r="J609" s="20" t="str">
        <f ca="1">IFERROR(__xludf.DUMMYFUNCTION("IF(I605="""", """", RANK(I605, FILTER(I:I, I:I&lt;&gt;""""), 1))
"),"")</f>
        <v/>
      </c>
    </row>
    <row r="610" spans="1:10" ht="22.5" customHeight="1">
      <c r="A610" s="65"/>
      <c r="B610" s="13"/>
      <c r="C610" s="20"/>
      <c r="D610" s="20"/>
      <c r="E610" s="69"/>
      <c r="F610" s="70"/>
      <c r="G610" s="70"/>
      <c r="H610" s="13"/>
      <c r="I610" s="14"/>
      <c r="J610" s="13" t="str">
        <f ca="1">IFERROR(__xludf.DUMMYFUNCTION("IF(I606="""", """", RANK(I606, FILTER(I:I, I:I&lt;&gt;""""), 1))
"),"")</f>
        <v/>
      </c>
    </row>
    <row r="611" spans="1:10" ht="22.5" customHeight="1">
      <c r="A611" s="68"/>
      <c r="B611" s="20"/>
      <c r="C611" s="13"/>
      <c r="D611" s="13"/>
      <c r="E611" s="66"/>
      <c r="F611" s="67"/>
      <c r="G611" s="67"/>
      <c r="H611" s="20"/>
      <c r="I611" s="27"/>
      <c r="J611" s="20" t="str">
        <f ca="1">IFERROR(__xludf.DUMMYFUNCTION("IF(I607="""", """", RANK(I607, FILTER(I:I, I:I&lt;&gt;""""), 1))
"),"")</f>
        <v/>
      </c>
    </row>
    <row r="612" spans="1:10" ht="22.5" customHeight="1">
      <c r="A612" s="65"/>
      <c r="B612" s="13"/>
      <c r="C612" s="20"/>
      <c r="D612" s="20"/>
      <c r="E612" s="69"/>
      <c r="F612" s="70"/>
      <c r="G612" s="70"/>
      <c r="H612" s="13"/>
      <c r="I612" s="14"/>
      <c r="J612" s="13" t="str">
        <f ca="1">IFERROR(__xludf.DUMMYFUNCTION("IF(I608="""", """", RANK(I608, FILTER(I:I, I:I&lt;&gt;""""), 1))
"),"")</f>
        <v/>
      </c>
    </row>
    <row r="613" spans="1:10" ht="22.5" customHeight="1">
      <c r="A613" s="68"/>
      <c r="B613" s="20"/>
      <c r="C613" s="13"/>
      <c r="D613" s="13"/>
      <c r="E613" s="66"/>
      <c r="F613" s="67"/>
      <c r="G613" s="67"/>
      <c r="H613" s="20"/>
      <c r="I613" s="27"/>
      <c r="J613" s="20" t="str">
        <f ca="1">IFERROR(__xludf.DUMMYFUNCTION("IF(I609="""", """", RANK(I609, FILTER(I:I, I:I&lt;&gt;""""), 1))
"),"")</f>
        <v/>
      </c>
    </row>
    <row r="614" spans="1:10" ht="22.5" customHeight="1">
      <c r="A614" s="65"/>
      <c r="B614" s="13"/>
      <c r="C614" s="20"/>
      <c r="D614" s="20"/>
      <c r="E614" s="69"/>
      <c r="F614" s="70"/>
      <c r="G614" s="70"/>
      <c r="H614" s="13"/>
      <c r="I614" s="14"/>
      <c r="J614" s="13" t="str">
        <f ca="1">IFERROR(__xludf.DUMMYFUNCTION("IF(I610="""", """", RANK(I610, FILTER(I:I, I:I&lt;&gt;""""), 1))
"),"")</f>
        <v/>
      </c>
    </row>
    <row r="615" spans="1:10" ht="22.5" customHeight="1">
      <c r="A615" s="68"/>
      <c r="B615" s="20"/>
      <c r="C615" s="13"/>
      <c r="D615" s="13"/>
      <c r="E615" s="66"/>
      <c r="F615" s="67"/>
      <c r="G615" s="67"/>
      <c r="H615" s="20"/>
      <c r="I615" s="27"/>
      <c r="J615" s="20" t="str">
        <f ca="1">IFERROR(__xludf.DUMMYFUNCTION("IF(I611="""", """", RANK(I611, FILTER(I:I, I:I&lt;&gt;""""), 1))
"),"")</f>
        <v/>
      </c>
    </row>
    <row r="616" spans="1:10" ht="22.5" customHeight="1">
      <c r="A616" s="65"/>
      <c r="B616" s="13"/>
      <c r="C616" s="20"/>
      <c r="D616" s="20"/>
      <c r="E616" s="69"/>
      <c r="F616" s="70"/>
      <c r="G616" s="70"/>
      <c r="H616" s="13"/>
      <c r="I616" s="14"/>
      <c r="J616" s="13" t="str">
        <f ca="1">IFERROR(__xludf.DUMMYFUNCTION("IF(I612="""", """", RANK(I612, FILTER(I:I, I:I&lt;&gt;""""), 1))
"),"")</f>
        <v/>
      </c>
    </row>
    <row r="617" spans="1:10" ht="22.5" customHeight="1">
      <c r="A617" s="68"/>
      <c r="B617" s="20"/>
      <c r="C617" s="13"/>
      <c r="D617" s="13"/>
      <c r="E617" s="66"/>
      <c r="F617" s="67"/>
      <c r="G617" s="67"/>
      <c r="H617" s="20"/>
      <c r="I617" s="27"/>
      <c r="J617" s="20" t="str">
        <f ca="1">IFERROR(__xludf.DUMMYFUNCTION("IF(I613="""", """", RANK(I613, FILTER(I:I, I:I&lt;&gt;""""), 1))
"),"")</f>
        <v/>
      </c>
    </row>
    <row r="618" spans="1:10" ht="22.5" customHeight="1">
      <c r="A618" s="65"/>
      <c r="B618" s="13"/>
      <c r="C618" s="20"/>
      <c r="D618" s="20"/>
      <c r="E618" s="69"/>
      <c r="F618" s="70"/>
      <c r="G618" s="70"/>
      <c r="H618" s="13"/>
      <c r="I618" s="14"/>
      <c r="J618" s="13" t="str">
        <f ca="1">IFERROR(__xludf.DUMMYFUNCTION("IF(I614="""", """", RANK(I614, FILTER(I:I, I:I&lt;&gt;""""), 1))
"),"")</f>
        <v/>
      </c>
    </row>
    <row r="619" spans="1:10" ht="22.5" customHeight="1">
      <c r="A619" s="68"/>
      <c r="B619" s="20"/>
      <c r="C619" s="13"/>
      <c r="D619" s="13"/>
      <c r="E619" s="66"/>
      <c r="F619" s="67"/>
      <c r="G619" s="67"/>
      <c r="H619" s="20"/>
      <c r="I619" s="27"/>
      <c r="J619" s="20" t="str">
        <f ca="1">IFERROR(__xludf.DUMMYFUNCTION("IF(I615="""", """", RANK(I615, FILTER(I:I, I:I&lt;&gt;""""), 1))
"),"")</f>
        <v/>
      </c>
    </row>
    <row r="620" spans="1:10" ht="22.5" customHeight="1">
      <c r="A620" s="65"/>
      <c r="B620" s="13"/>
      <c r="C620" s="20"/>
      <c r="D620" s="20"/>
      <c r="E620" s="69"/>
      <c r="F620" s="70"/>
      <c r="G620" s="70"/>
      <c r="H620" s="13"/>
      <c r="I620" s="14"/>
      <c r="J620" s="13" t="str">
        <f ca="1">IFERROR(__xludf.DUMMYFUNCTION("IF(I616="""", """", RANK(I616, FILTER(I:I, I:I&lt;&gt;""""), 1))
"),"")</f>
        <v/>
      </c>
    </row>
    <row r="621" spans="1:10" ht="22.5" customHeight="1">
      <c r="A621" s="68"/>
      <c r="B621" s="20"/>
      <c r="C621" s="13"/>
      <c r="D621" s="13"/>
      <c r="E621" s="66"/>
      <c r="F621" s="67"/>
      <c r="G621" s="67"/>
      <c r="H621" s="20"/>
      <c r="I621" s="27"/>
      <c r="J621" s="20" t="str">
        <f ca="1">IFERROR(__xludf.DUMMYFUNCTION("IF(I617="""", """", RANK(I617, FILTER(I:I, I:I&lt;&gt;""""), 1))
"),"")</f>
        <v/>
      </c>
    </row>
    <row r="622" spans="1:10" ht="22.5" customHeight="1">
      <c r="A622" s="65"/>
      <c r="B622" s="13"/>
      <c r="C622" s="20"/>
      <c r="D622" s="20"/>
      <c r="E622" s="69"/>
      <c r="F622" s="70"/>
      <c r="G622" s="70"/>
      <c r="H622" s="13"/>
      <c r="I622" s="14"/>
      <c r="J622" s="13" t="str">
        <f ca="1">IFERROR(__xludf.DUMMYFUNCTION("IF(I618="""", """", RANK(I618, FILTER(I:I, I:I&lt;&gt;""""), 1))
"),"")</f>
        <v/>
      </c>
    </row>
    <row r="623" spans="1:10" ht="22.5" customHeight="1">
      <c r="A623" s="68"/>
      <c r="B623" s="20"/>
      <c r="C623" s="13"/>
      <c r="D623" s="13"/>
      <c r="E623" s="66"/>
      <c r="F623" s="67"/>
      <c r="G623" s="67"/>
      <c r="H623" s="20"/>
      <c r="I623" s="27"/>
      <c r="J623" s="20" t="str">
        <f ca="1">IFERROR(__xludf.DUMMYFUNCTION("IF(I619="""", """", RANK(I619, FILTER(I:I, I:I&lt;&gt;""""), 1))
"),"")</f>
        <v/>
      </c>
    </row>
    <row r="624" spans="1:10" ht="22.5" customHeight="1">
      <c r="A624" s="65"/>
      <c r="B624" s="13"/>
      <c r="C624" s="20"/>
      <c r="D624" s="20"/>
      <c r="E624" s="69"/>
      <c r="F624" s="70"/>
      <c r="G624" s="70"/>
      <c r="H624" s="13"/>
      <c r="I624" s="14"/>
      <c r="J624" s="13" t="str">
        <f ca="1">IFERROR(__xludf.DUMMYFUNCTION("IF(I620="""", """", RANK(I620, FILTER(I:I, I:I&lt;&gt;""""), 1))
"),"")</f>
        <v/>
      </c>
    </row>
    <row r="625" spans="1:10" ht="22.5" customHeight="1">
      <c r="A625" s="68"/>
      <c r="B625" s="20"/>
      <c r="C625" s="13"/>
      <c r="D625" s="13"/>
      <c r="E625" s="66"/>
      <c r="F625" s="67"/>
      <c r="G625" s="67"/>
      <c r="H625" s="20"/>
      <c r="I625" s="27"/>
      <c r="J625" s="20" t="str">
        <f ca="1">IFERROR(__xludf.DUMMYFUNCTION("IF(I621="""", """", RANK(I621, FILTER(I:I, I:I&lt;&gt;""""), 1))
"),"")</f>
        <v/>
      </c>
    </row>
    <row r="626" spans="1:10" ht="22.5" customHeight="1">
      <c r="A626" s="65"/>
      <c r="B626" s="13"/>
      <c r="C626" s="20"/>
      <c r="D626" s="20"/>
      <c r="E626" s="69"/>
      <c r="F626" s="70"/>
      <c r="G626" s="70"/>
      <c r="H626" s="13"/>
      <c r="I626" s="14"/>
      <c r="J626" s="13" t="str">
        <f ca="1">IFERROR(__xludf.DUMMYFUNCTION("IF(I622="""", """", RANK(I622, FILTER(I:I, I:I&lt;&gt;""""), 1))
"),"")</f>
        <v/>
      </c>
    </row>
    <row r="627" spans="1:10" ht="22.5" customHeight="1">
      <c r="A627" s="68"/>
      <c r="B627" s="20"/>
      <c r="C627" s="13"/>
      <c r="D627" s="13"/>
      <c r="E627" s="66"/>
      <c r="F627" s="67"/>
      <c r="G627" s="67"/>
      <c r="H627" s="20"/>
      <c r="I627" s="27"/>
      <c r="J627" s="20" t="str">
        <f ca="1">IFERROR(__xludf.DUMMYFUNCTION("IF(I623="""", """", RANK(I623, FILTER(I:I, I:I&lt;&gt;""""), 1))
"),"")</f>
        <v/>
      </c>
    </row>
    <row r="628" spans="1:10" ht="22.5" customHeight="1">
      <c r="A628" s="65"/>
      <c r="B628" s="13"/>
      <c r="C628" s="20"/>
      <c r="D628" s="20"/>
      <c r="E628" s="69"/>
      <c r="F628" s="70"/>
      <c r="G628" s="70"/>
      <c r="H628" s="13"/>
      <c r="I628" s="14"/>
      <c r="J628" s="13" t="str">
        <f ca="1">IFERROR(__xludf.DUMMYFUNCTION("IF(I624="""", """", RANK(I624, FILTER(I:I, I:I&lt;&gt;""""), 1))
"),"")</f>
        <v/>
      </c>
    </row>
    <row r="629" spans="1:10" ht="22.5" customHeight="1">
      <c r="A629" s="68"/>
      <c r="B629" s="20"/>
      <c r="C629" s="13"/>
      <c r="D629" s="13"/>
      <c r="E629" s="66"/>
      <c r="F629" s="67"/>
      <c r="G629" s="67"/>
      <c r="H629" s="20"/>
      <c r="I629" s="27"/>
      <c r="J629" s="20" t="str">
        <f ca="1">IFERROR(__xludf.DUMMYFUNCTION("IF(I625="""", """", RANK(I625, FILTER(I:I, I:I&lt;&gt;""""), 1))
"),"")</f>
        <v/>
      </c>
    </row>
    <row r="630" spans="1:10" ht="22.5" customHeight="1">
      <c r="A630" s="65"/>
      <c r="B630" s="13"/>
      <c r="C630" s="20"/>
      <c r="D630" s="20"/>
      <c r="E630" s="69"/>
      <c r="F630" s="70"/>
      <c r="G630" s="70"/>
      <c r="H630" s="13"/>
      <c r="I630" s="14"/>
      <c r="J630" s="13" t="str">
        <f ca="1">IFERROR(__xludf.DUMMYFUNCTION("IF(I626="""", """", RANK(I626, FILTER(I:I, I:I&lt;&gt;""""), 1))
"),"")</f>
        <v/>
      </c>
    </row>
    <row r="631" spans="1:10" ht="22.5" customHeight="1">
      <c r="A631" s="68"/>
      <c r="B631" s="20"/>
      <c r="C631" s="13"/>
      <c r="D631" s="13"/>
      <c r="E631" s="66"/>
      <c r="F631" s="67"/>
      <c r="G631" s="67"/>
      <c r="H631" s="20"/>
      <c r="I631" s="27"/>
      <c r="J631" s="20" t="str">
        <f ca="1">IFERROR(__xludf.DUMMYFUNCTION("IF(I627="""", """", RANK(I627, FILTER(I:I, I:I&lt;&gt;""""), 1))
"),"")</f>
        <v/>
      </c>
    </row>
    <row r="632" spans="1:10" ht="22.5" customHeight="1">
      <c r="A632" s="65"/>
      <c r="B632" s="13"/>
      <c r="C632" s="20"/>
      <c r="D632" s="20"/>
      <c r="E632" s="69"/>
      <c r="F632" s="70"/>
      <c r="G632" s="70"/>
      <c r="H632" s="13"/>
      <c r="I632" s="14"/>
      <c r="J632" s="13" t="str">
        <f ca="1">IFERROR(__xludf.DUMMYFUNCTION("IF(I628="""", """", RANK(I628, FILTER(I:I, I:I&lt;&gt;""""), 1))
"),"")</f>
        <v/>
      </c>
    </row>
    <row r="633" spans="1:10" ht="22.5" customHeight="1">
      <c r="A633" s="68"/>
      <c r="B633" s="20"/>
      <c r="C633" s="13"/>
      <c r="D633" s="13"/>
      <c r="E633" s="66"/>
      <c r="F633" s="67"/>
      <c r="G633" s="67"/>
      <c r="H633" s="20"/>
      <c r="I633" s="27"/>
      <c r="J633" s="20" t="str">
        <f ca="1">IFERROR(__xludf.DUMMYFUNCTION("IF(I629="""", """", RANK(I629, FILTER(I:I, I:I&lt;&gt;""""), 1))
"),"")</f>
        <v/>
      </c>
    </row>
    <row r="634" spans="1:10" ht="22.5" customHeight="1">
      <c r="A634" s="65"/>
      <c r="B634" s="13"/>
      <c r="C634" s="20"/>
      <c r="D634" s="20"/>
      <c r="E634" s="69"/>
      <c r="F634" s="70"/>
      <c r="G634" s="70"/>
      <c r="H634" s="13"/>
      <c r="I634" s="14"/>
      <c r="J634" s="13" t="str">
        <f ca="1">IFERROR(__xludf.DUMMYFUNCTION("IF(I630="""", """", RANK(I630, FILTER(I:I, I:I&lt;&gt;""""), 1))
"),"")</f>
        <v/>
      </c>
    </row>
    <row r="635" spans="1:10" ht="22.5" customHeight="1">
      <c r="A635" s="68"/>
      <c r="B635" s="20"/>
      <c r="C635" s="13"/>
      <c r="D635" s="13"/>
      <c r="E635" s="66"/>
      <c r="F635" s="67"/>
      <c r="G635" s="67"/>
      <c r="H635" s="20"/>
      <c r="I635" s="27"/>
      <c r="J635" s="20" t="str">
        <f ca="1">IFERROR(__xludf.DUMMYFUNCTION("IF(I631="""", """", RANK(I631, FILTER(I:I, I:I&lt;&gt;""""), 1))
"),"")</f>
        <v/>
      </c>
    </row>
    <row r="636" spans="1:10" ht="22.5" customHeight="1">
      <c r="A636" s="65"/>
      <c r="B636" s="13"/>
      <c r="C636" s="20"/>
      <c r="D636" s="20"/>
      <c r="E636" s="69"/>
      <c r="F636" s="70"/>
      <c r="G636" s="70"/>
      <c r="H636" s="13"/>
      <c r="I636" s="14"/>
      <c r="J636" s="13" t="str">
        <f ca="1">IFERROR(__xludf.DUMMYFUNCTION("IF(I632="""", """", RANK(I632, FILTER(I:I, I:I&lt;&gt;""""), 1))
"),"")</f>
        <v/>
      </c>
    </row>
    <row r="637" spans="1:10" ht="22.5" customHeight="1">
      <c r="A637" s="68"/>
      <c r="B637" s="20"/>
      <c r="C637" s="13"/>
      <c r="D637" s="13"/>
      <c r="E637" s="66"/>
      <c r="F637" s="67"/>
      <c r="G637" s="67"/>
      <c r="H637" s="20"/>
      <c r="I637" s="27"/>
      <c r="J637" s="20" t="str">
        <f ca="1">IFERROR(__xludf.DUMMYFUNCTION("IF(I633="""", """", RANK(I633, FILTER(I:I, I:I&lt;&gt;""""), 1))
"),"")</f>
        <v/>
      </c>
    </row>
    <row r="638" spans="1:10" ht="22.5" customHeight="1">
      <c r="A638" s="65"/>
      <c r="B638" s="13"/>
      <c r="C638" s="20"/>
      <c r="D638" s="20"/>
      <c r="E638" s="69"/>
      <c r="F638" s="70"/>
      <c r="G638" s="70"/>
      <c r="H638" s="13"/>
      <c r="I638" s="14"/>
      <c r="J638" s="13" t="str">
        <f ca="1">IFERROR(__xludf.DUMMYFUNCTION("IF(I634="""", """", RANK(I634, FILTER(I:I, I:I&lt;&gt;""""), 1))
"),"")</f>
        <v/>
      </c>
    </row>
    <row r="639" spans="1:10" ht="22.5" customHeight="1">
      <c r="A639" s="68"/>
      <c r="B639" s="20"/>
      <c r="C639" s="13"/>
      <c r="D639" s="13"/>
      <c r="E639" s="66"/>
      <c r="F639" s="67"/>
      <c r="G639" s="67"/>
      <c r="H639" s="20"/>
      <c r="I639" s="27"/>
      <c r="J639" s="20" t="str">
        <f ca="1">IFERROR(__xludf.DUMMYFUNCTION("IF(I635="""", """", RANK(I635, FILTER(I:I, I:I&lt;&gt;""""), 1))
"),"")</f>
        <v/>
      </c>
    </row>
    <row r="640" spans="1:10" ht="22.5" customHeight="1">
      <c r="A640" s="65"/>
      <c r="B640" s="13"/>
      <c r="C640" s="20"/>
      <c r="D640" s="20"/>
      <c r="E640" s="69"/>
      <c r="F640" s="70"/>
      <c r="G640" s="70"/>
      <c r="H640" s="13"/>
      <c r="I640" s="14"/>
      <c r="J640" s="13" t="str">
        <f ca="1">IFERROR(__xludf.DUMMYFUNCTION("IF(I636="""", """", RANK(I636, FILTER(I:I, I:I&lt;&gt;""""), 1))
"),"")</f>
        <v/>
      </c>
    </row>
    <row r="641" spans="1:10" ht="22.5" customHeight="1">
      <c r="A641" s="68"/>
      <c r="B641" s="20"/>
      <c r="C641" s="13"/>
      <c r="D641" s="13"/>
      <c r="E641" s="66"/>
      <c r="F641" s="67"/>
      <c r="G641" s="67"/>
      <c r="H641" s="20"/>
      <c r="I641" s="27"/>
      <c r="J641" s="20" t="str">
        <f ca="1">IFERROR(__xludf.DUMMYFUNCTION("IF(I637="""", """", RANK(I637, FILTER(I:I, I:I&lt;&gt;""""), 1))
"),"")</f>
        <v/>
      </c>
    </row>
    <row r="642" spans="1:10" ht="22.5" customHeight="1">
      <c r="A642" s="65"/>
      <c r="B642" s="13"/>
      <c r="C642" s="20"/>
      <c r="D642" s="20"/>
      <c r="E642" s="69"/>
      <c r="F642" s="70"/>
      <c r="G642" s="70"/>
      <c r="H642" s="13"/>
      <c r="I642" s="14"/>
      <c r="J642" s="13" t="str">
        <f ca="1">IFERROR(__xludf.DUMMYFUNCTION("IF(I638="""", """", RANK(I638, FILTER(I:I, I:I&lt;&gt;""""), 1))
"),"")</f>
        <v/>
      </c>
    </row>
    <row r="643" spans="1:10" ht="22.5" customHeight="1">
      <c r="A643" s="68"/>
      <c r="B643" s="20"/>
      <c r="C643" s="13"/>
      <c r="D643" s="13"/>
      <c r="E643" s="66"/>
      <c r="F643" s="67"/>
      <c r="G643" s="67"/>
      <c r="H643" s="20"/>
      <c r="I643" s="27"/>
      <c r="J643" s="20" t="str">
        <f ca="1">IFERROR(__xludf.DUMMYFUNCTION("IF(I639="""", """", RANK(I639, FILTER(I:I, I:I&lt;&gt;""""), 1))
"),"")</f>
        <v/>
      </c>
    </row>
    <row r="644" spans="1:10" ht="22.5" customHeight="1">
      <c r="A644" s="65"/>
      <c r="B644" s="13"/>
      <c r="C644" s="20"/>
      <c r="D644" s="20"/>
      <c r="E644" s="69"/>
      <c r="F644" s="70"/>
      <c r="G644" s="70"/>
      <c r="H644" s="13"/>
      <c r="I644" s="14"/>
      <c r="J644" s="13" t="str">
        <f ca="1">IFERROR(__xludf.DUMMYFUNCTION("IF(I640="""", """", RANK(I640, FILTER(I:I, I:I&lt;&gt;""""), 1))
"),"")</f>
        <v/>
      </c>
    </row>
    <row r="645" spans="1:10" ht="22.5" customHeight="1">
      <c r="A645" s="68"/>
      <c r="B645" s="20"/>
      <c r="C645" s="13"/>
      <c r="D645" s="13"/>
      <c r="E645" s="66"/>
      <c r="F645" s="67"/>
      <c r="G645" s="67"/>
      <c r="H645" s="20"/>
      <c r="I645" s="27"/>
      <c r="J645" s="20" t="str">
        <f ca="1">IFERROR(__xludf.DUMMYFUNCTION("IF(I641="""", """", RANK(I641, FILTER(I:I, I:I&lt;&gt;""""), 1))
"),"")</f>
        <v/>
      </c>
    </row>
    <row r="646" spans="1:10" ht="22.5" customHeight="1">
      <c r="A646" s="65"/>
      <c r="B646" s="13"/>
      <c r="C646" s="20"/>
      <c r="D646" s="20"/>
      <c r="E646" s="69"/>
      <c r="F646" s="70"/>
      <c r="G646" s="70"/>
      <c r="H646" s="13"/>
      <c r="I646" s="14"/>
      <c r="J646" s="13" t="str">
        <f ca="1">IFERROR(__xludf.DUMMYFUNCTION("IF(I642="""", """", RANK(I642, FILTER(I:I, I:I&lt;&gt;""""), 1))
"),"")</f>
        <v/>
      </c>
    </row>
    <row r="647" spans="1:10" ht="22.5" customHeight="1">
      <c r="A647" s="68"/>
      <c r="B647" s="20"/>
      <c r="C647" s="13"/>
      <c r="D647" s="13"/>
      <c r="E647" s="66"/>
      <c r="F647" s="67"/>
      <c r="G647" s="67"/>
      <c r="H647" s="20"/>
      <c r="I647" s="27"/>
      <c r="J647" s="20" t="str">
        <f ca="1">IFERROR(__xludf.DUMMYFUNCTION("IF(I643="""", """", RANK(I643, FILTER(I:I, I:I&lt;&gt;""""), 1))
"),"")</f>
        <v/>
      </c>
    </row>
    <row r="648" spans="1:10" ht="22.5" customHeight="1">
      <c r="A648" s="65"/>
      <c r="B648" s="13"/>
      <c r="C648" s="20"/>
      <c r="D648" s="20"/>
      <c r="E648" s="69"/>
      <c r="F648" s="70"/>
      <c r="G648" s="70"/>
      <c r="H648" s="13"/>
      <c r="I648" s="14"/>
      <c r="J648" s="13" t="str">
        <f ca="1">IFERROR(__xludf.DUMMYFUNCTION("IF(I644="""", """", RANK(I644, FILTER(I:I, I:I&lt;&gt;""""), 1))
"),"")</f>
        <v/>
      </c>
    </row>
    <row r="649" spans="1:10" ht="22.5" customHeight="1">
      <c r="A649" s="68"/>
      <c r="B649" s="20"/>
      <c r="C649" s="13"/>
      <c r="D649" s="13"/>
      <c r="E649" s="66"/>
      <c r="F649" s="67"/>
      <c r="G649" s="67"/>
      <c r="H649" s="20"/>
      <c r="I649" s="27"/>
      <c r="J649" s="20" t="str">
        <f ca="1">IFERROR(__xludf.DUMMYFUNCTION("IF(I645="""", """", RANK(I645, FILTER(I:I, I:I&lt;&gt;""""), 1))
"),"")</f>
        <v/>
      </c>
    </row>
    <row r="650" spans="1:10" ht="22.5" customHeight="1">
      <c r="A650" s="65"/>
      <c r="B650" s="13"/>
      <c r="C650" s="20"/>
      <c r="D650" s="20"/>
      <c r="E650" s="69"/>
      <c r="F650" s="70"/>
      <c r="G650" s="70"/>
      <c r="H650" s="13"/>
      <c r="I650" s="14"/>
      <c r="J650" s="13" t="str">
        <f ca="1">IFERROR(__xludf.DUMMYFUNCTION("IF(I646="""", """", RANK(I646, FILTER(I:I, I:I&lt;&gt;""""), 1))
"),"")</f>
        <v/>
      </c>
    </row>
    <row r="651" spans="1:10" ht="22.5" customHeight="1">
      <c r="A651" s="68"/>
      <c r="B651" s="20"/>
      <c r="C651" s="13"/>
      <c r="D651" s="13"/>
      <c r="E651" s="66"/>
      <c r="F651" s="67"/>
      <c r="G651" s="67"/>
      <c r="H651" s="20"/>
      <c r="I651" s="27"/>
      <c r="J651" s="20" t="str">
        <f ca="1">IFERROR(__xludf.DUMMYFUNCTION("IF(I647="""", """", RANK(I647, FILTER(I:I, I:I&lt;&gt;""""), 1))
"),"")</f>
        <v/>
      </c>
    </row>
    <row r="652" spans="1:10" ht="22.5" customHeight="1">
      <c r="A652" s="65"/>
      <c r="B652" s="13"/>
      <c r="C652" s="20"/>
      <c r="D652" s="20"/>
      <c r="E652" s="69"/>
      <c r="F652" s="70"/>
      <c r="G652" s="70"/>
      <c r="H652" s="13"/>
      <c r="I652" s="14"/>
      <c r="J652" s="13" t="str">
        <f ca="1">IFERROR(__xludf.DUMMYFUNCTION("IF(I648="""", """", RANK(I648, FILTER(I:I, I:I&lt;&gt;""""), 1))
"),"")</f>
        <v/>
      </c>
    </row>
    <row r="653" spans="1:10" ht="22.5" customHeight="1">
      <c r="A653" s="68"/>
      <c r="B653" s="20"/>
      <c r="C653" s="13"/>
      <c r="D653" s="13"/>
      <c r="E653" s="66"/>
      <c r="F653" s="67"/>
      <c r="G653" s="67"/>
      <c r="H653" s="20"/>
      <c r="I653" s="27"/>
      <c r="J653" s="20" t="str">
        <f ca="1">IFERROR(__xludf.DUMMYFUNCTION("IF(I649="""", """", RANK(I649, FILTER(I:I, I:I&lt;&gt;""""), 1))
"),"")</f>
        <v/>
      </c>
    </row>
    <row r="654" spans="1:10" ht="22.5" customHeight="1">
      <c r="A654" s="65"/>
      <c r="B654" s="13"/>
      <c r="C654" s="20"/>
      <c r="D654" s="20"/>
      <c r="E654" s="69"/>
      <c r="F654" s="70"/>
      <c r="G654" s="70"/>
      <c r="H654" s="13"/>
      <c r="I654" s="14"/>
      <c r="J654" s="13" t="str">
        <f ca="1">IFERROR(__xludf.DUMMYFUNCTION("IF(I650="""", """", RANK(I650, FILTER(I:I, I:I&lt;&gt;""""), 1))
"),"")</f>
        <v/>
      </c>
    </row>
    <row r="655" spans="1:10" ht="22.5" customHeight="1">
      <c r="A655" s="68"/>
      <c r="B655" s="20"/>
      <c r="C655" s="13"/>
      <c r="D655" s="13"/>
      <c r="E655" s="66"/>
      <c r="F655" s="67"/>
      <c r="G655" s="67"/>
      <c r="H655" s="20"/>
      <c r="I655" s="27"/>
      <c r="J655" s="20" t="str">
        <f ca="1">IFERROR(__xludf.DUMMYFUNCTION("IF(I651="""", """", RANK(I651, FILTER(I:I, I:I&lt;&gt;""""), 1))
"),"")</f>
        <v/>
      </c>
    </row>
    <row r="656" spans="1:10" ht="22.5" customHeight="1">
      <c r="A656" s="65"/>
      <c r="B656" s="13"/>
      <c r="C656" s="20"/>
      <c r="D656" s="20"/>
      <c r="E656" s="69"/>
      <c r="F656" s="70"/>
      <c r="G656" s="70"/>
      <c r="H656" s="13"/>
      <c r="I656" s="14"/>
      <c r="J656" s="13" t="str">
        <f ca="1">IFERROR(__xludf.DUMMYFUNCTION("IF(I652="""", """", RANK(I652, FILTER(I:I, I:I&lt;&gt;""""), 1))
"),"")</f>
        <v/>
      </c>
    </row>
    <row r="657" spans="1:10" ht="22.5" customHeight="1">
      <c r="A657" s="68"/>
      <c r="B657" s="20"/>
      <c r="C657" s="13"/>
      <c r="D657" s="13"/>
      <c r="E657" s="66"/>
      <c r="F657" s="67"/>
      <c r="G657" s="67"/>
      <c r="H657" s="20"/>
      <c r="I657" s="27"/>
      <c r="J657" s="20" t="str">
        <f ca="1">IFERROR(__xludf.DUMMYFUNCTION("IF(I653="""", """", RANK(I653, FILTER(I:I, I:I&lt;&gt;""""), 1))
"),"")</f>
        <v/>
      </c>
    </row>
    <row r="658" spans="1:10" ht="22.5" customHeight="1">
      <c r="A658" s="65"/>
      <c r="B658" s="13"/>
      <c r="C658" s="20"/>
      <c r="D658" s="20"/>
      <c r="E658" s="69"/>
      <c r="F658" s="70"/>
      <c r="G658" s="70"/>
      <c r="H658" s="13"/>
      <c r="I658" s="14"/>
      <c r="J658" s="13" t="str">
        <f ca="1">IFERROR(__xludf.DUMMYFUNCTION("IF(I654="""", """", RANK(I654, FILTER(I:I, I:I&lt;&gt;""""), 1))
"),"")</f>
        <v/>
      </c>
    </row>
    <row r="659" spans="1:10" ht="22.5" customHeight="1">
      <c r="A659" s="68"/>
      <c r="B659" s="20"/>
      <c r="C659" s="13"/>
      <c r="D659" s="13"/>
      <c r="E659" s="66"/>
      <c r="F659" s="67"/>
      <c r="G659" s="67"/>
      <c r="H659" s="20"/>
      <c r="I659" s="27"/>
      <c r="J659" s="20" t="str">
        <f ca="1">IFERROR(__xludf.DUMMYFUNCTION("IF(I655="""", """", RANK(I655, FILTER(I:I, I:I&lt;&gt;""""), 1))
"),"")</f>
        <v/>
      </c>
    </row>
    <row r="660" spans="1:10" ht="22.5" customHeight="1">
      <c r="A660" s="65"/>
      <c r="B660" s="13"/>
      <c r="C660" s="20"/>
      <c r="D660" s="20"/>
      <c r="E660" s="69"/>
      <c r="F660" s="70"/>
      <c r="G660" s="70"/>
      <c r="H660" s="13"/>
      <c r="I660" s="14"/>
      <c r="J660" s="13" t="str">
        <f ca="1">IFERROR(__xludf.DUMMYFUNCTION("IF(I656="""", """", RANK(I656, FILTER(I:I, I:I&lt;&gt;""""), 1))
"),"")</f>
        <v/>
      </c>
    </row>
    <row r="661" spans="1:10" ht="22.5" customHeight="1">
      <c r="A661" s="68"/>
      <c r="B661" s="20"/>
      <c r="C661" s="13"/>
      <c r="D661" s="13"/>
      <c r="E661" s="66"/>
      <c r="F661" s="67"/>
      <c r="G661" s="67"/>
      <c r="H661" s="20"/>
      <c r="I661" s="27"/>
      <c r="J661" s="20" t="str">
        <f ca="1">IFERROR(__xludf.DUMMYFUNCTION("IF(I657="""", """", RANK(I657, FILTER(I:I, I:I&lt;&gt;""""), 1))
"),"")</f>
        <v/>
      </c>
    </row>
    <row r="662" spans="1:10" ht="22.5" customHeight="1">
      <c r="A662" s="65"/>
      <c r="B662" s="13"/>
      <c r="C662" s="20"/>
      <c r="D662" s="20"/>
      <c r="E662" s="69"/>
      <c r="F662" s="70"/>
      <c r="G662" s="70"/>
      <c r="H662" s="13"/>
      <c r="I662" s="14"/>
      <c r="J662" s="13" t="str">
        <f ca="1">IFERROR(__xludf.DUMMYFUNCTION("IF(I658="""", """", RANK(I658, FILTER(I:I, I:I&lt;&gt;""""), 1))
"),"")</f>
        <v/>
      </c>
    </row>
    <row r="663" spans="1:10" ht="22.5" customHeight="1">
      <c r="A663" s="68"/>
      <c r="B663" s="20"/>
      <c r="C663" s="13"/>
      <c r="D663" s="13"/>
      <c r="E663" s="66"/>
      <c r="F663" s="67"/>
      <c r="G663" s="67"/>
      <c r="H663" s="20"/>
      <c r="I663" s="27"/>
      <c r="J663" s="20" t="str">
        <f ca="1">IFERROR(__xludf.DUMMYFUNCTION("IF(I659="""", """", RANK(I659, FILTER(I:I, I:I&lt;&gt;""""), 1))
"),"")</f>
        <v/>
      </c>
    </row>
    <row r="664" spans="1:10" ht="22.5" customHeight="1">
      <c r="A664" s="65"/>
      <c r="B664" s="13"/>
      <c r="C664" s="20"/>
      <c r="D664" s="20"/>
      <c r="E664" s="69"/>
      <c r="F664" s="70"/>
      <c r="G664" s="70"/>
      <c r="H664" s="13"/>
      <c r="I664" s="14"/>
      <c r="J664" s="13" t="str">
        <f ca="1">IFERROR(__xludf.DUMMYFUNCTION("IF(I660="""", """", RANK(I660, FILTER(I:I, I:I&lt;&gt;""""), 1))
"),"")</f>
        <v/>
      </c>
    </row>
    <row r="665" spans="1:10" ht="22.5" customHeight="1">
      <c r="A665" s="68"/>
      <c r="B665" s="20"/>
      <c r="C665" s="13"/>
      <c r="D665" s="13"/>
      <c r="E665" s="66"/>
      <c r="F665" s="67"/>
      <c r="G665" s="67"/>
      <c r="H665" s="20"/>
      <c r="I665" s="27"/>
      <c r="J665" s="20" t="str">
        <f ca="1">IFERROR(__xludf.DUMMYFUNCTION("IF(I661="""", """", RANK(I661, FILTER(I:I, I:I&lt;&gt;""""), 1))
"),"")</f>
        <v/>
      </c>
    </row>
    <row r="666" spans="1:10" ht="22.5" customHeight="1">
      <c r="A666" s="65"/>
      <c r="B666" s="13"/>
      <c r="C666" s="20"/>
      <c r="D666" s="20"/>
      <c r="E666" s="69"/>
      <c r="F666" s="70"/>
      <c r="G666" s="70"/>
      <c r="H666" s="13"/>
      <c r="I666" s="14"/>
      <c r="J666" s="13" t="str">
        <f ca="1">IFERROR(__xludf.DUMMYFUNCTION("IF(I662="""", """", RANK(I662, FILTER(I:I, I:I&lt;&gt;""""), 1))
"),"")</f>
        <v/>
      </c>
    </row>
    <row r="667" spans="1:10" ht="22.5" customHeight="1">
      <c r="A667" s="68"/>
      <c r="B667" s="20"/>
      <c r="C667" s="13"/>
      <c r="D667" s="13"/>
      <c r="E667" s="66"/>
      <c r="F667" s="67"/>
      <c r="G667" s="67"/>
      <c r="H667" s="20"/>
      <c r="I667" s="27"/>
      <c r="J667" s="20" t="str">
        <f ca="1">IFERROR(__xludf.DUMMYFUNCTION("IF(I663="""", """", RANK(I663, FILTER(I:I, I:I&lt;&gt;""""), 1))
"),"")</f>
        <v/>
      </c>
    </row>
    <row r="668" spans="1:10" ht="22.5" customHeight="1">
      <c r="A668" s="65"/>
      <c r="B668" s="13"/>
      <c r="C668" s="20"/>
      <c r="D668" s="20"/>
      <c r="E668" s="69"/>
      <c r="F668" s="70"/>
      <c r="G668" s="70"/>
      <c r="H668" s="13"/>
      <c r="I668" s="14"/>
      <c r="J668" s="13" t="str">
        <f ca="1">IFERROR(__xludf.DUMMYFUNCTION("IF(I664="""", """", RANK(I664, FILTER(I:I, I:I&lt;&gt;""""), 1))
"),"")</f>
        <v/>
      </c>
    </row>
    <row r="669" spans="1:10" ht="22.5" customHeight="1">
      <c r="A669" s="68"/>
      <c r="B669" s="20"/>
      <c r="C669" s="13"/>
      <c r="D669" s="13"/>
      <c r="E669" s="66"/>
      <c r="F669" s="67"/>
      <c r="G669" s="67"/>
      <c r="H669" s="20"/>
      <c r="I669" s="27"/>
      <c r="J669" s="20" t="str">
        <f ca="1">IFERROR(__xludf.DUMMYFUNCTION("IF(I665="""", """", RANK(I665, FILTER(I:I, I:I&lt;&gt;""""), 1))
"),"")</f>
        <v/>
      </c>
    </row>
    <row r="670" spans="1:10" ht="22.5" customHeight="1">
      <c r="A670" s="65"/>
      <c r="B670" s="13"/>
      <c r="C670" s="20"/>
      <c r="D670" s="20"/>
      <c r="E670" s="69"/>
      <c r="F670" s="70"/>
      <c r="G670" s="70"/>
      <c r="H670" s="13"/>
      <c r="I670" s="14"/>
      <c r="J670" s="13" t="str">
        <f ca="1">IFERROR(__xludf.DUMMYFUNCTION("IF(I666="""", """", RANK(I666, FILTER(I:I, I:I&lt;&gt;""""), 1))
"),"")</f>
        <v/>
      </c>
    </row>
    <row r="671" spans="1:10" ht="22.5" customHeight="1">
      <c r="A671" s="68"/>
      <c r="B671" s="20"/>
      <c r="C671" s="13"/>
      <c r="D671" s="13"/>
      <c r="E671" s="66"/>
      <c r="F671" s="67"/>
      <c r="G671" s="67"/>
      <c r="H671" s="20"/>
      <c r="I671" s="27"/>
      <c r="J671" s="20" t="str">
        <f ca="1">IFERROR(__xludf.DUMMYFUNCTION("IF(I667="""", """", RANK(I667, FILTER(I:I, I:I&lt;&gt;""""), 1))
"),"")</f>
        <v/>
      </c>
    </row>
    <row r="672" spans="1:10" ht="22.5" customHeight="1">
      <c r="A672" s="65"/>
      <c r="B672" s="13"/>
      <c r="C672" s="20"/>
      <c r="D672" s="20"/>
      <c r="E672" s="69"/>
      <c r="F672" s="70"/>
      <c r="G672" s="70"/>
      <c r="H672" s="13"/>
      <c r="I672" s="14"/>
      <c r="J672" s="13" t="str">
        <f ca="1">IFERROR(__xludf.DUMMYFUNCTION("IF(I668="""", """", RANK(I668, FILTER(I:I, I:I&lt;&gt;""""), 1))
"),"")</f>
        <v/>
      </c>
    </row>
    <row r="673" spans="1:10" ht="22.5" customHeight="1">
      <c r="A673" s="68"/>
      <c r="B673" s="20"/>
      <c r="C673" s="13"/>
      <c r="D673" s="13"/>
      <c r="E673" s="66"/>
      <c r="F673" s="67"/>
      <c r="G673" s="67"/>
      <c r="H673" s="20"/>
      <c r="I673" s="27"/>
      <c r="J673" s="20" t="str">
        <f ca="1">IFERROR(__xludf.DUMMYFUNCTION("IF(I669="""", """", RANK(I669, FILTER(I:I, I:I&lt;&gt;""""), 1))
"),"")</f>
        <v/>
      </c>
    </row>
    <row r="674" spans="1:10" ht="22.5" customHeight="1">
      <c r="A674" s="65"/>
      <c r="B674" s="13"/>
      <c r="C674" s="20"/>
      <c r="D674" s="20"/>
      <c r="E674" s="69"/>
      <c r="F674" s="70"/>
      <c r="G674" s="70"/>
      <c r="H674" s="13"/>
      <c r="I674" s="14"/>
      <c r="J674" s="13" t="str">
        <f ca="1">IFERROR(__xludf.DUMMYFUNCTION("IF(I670="""", """", RANK(I670, FILTER(I:I, I:I&lt;&gt;""""), 1))
"),"")</f>
        <v/>
      </c>
    </row>
    <row r="675" spans="1:10" ht="22.5" customHeight="1">
      <c r="A675" s="68"/>
      <c r="B675" s="20"/>
      <c r="C675" s="13"/>
      <c r="D675" s="13"/>
      <c r="E675" s="66"/>
      <c r="F675" s="67"/>
      <c r="G675" s="67"/>
      <c r="H675" s="20"/>
      <c r="I675" s="27"/>
      <c r="J675" s="20" t="str">
        <f ca="1">IFERROR(__xludf.DUMMYFUNCTION("IF(I671="""", """", RANK(I671, FILTER(I:I, I:I&lt;&gt;""""), 1))
"),"")</f>
        <v/>
      </c>
    </row>
    <row r="676" spans="1:10" ht="22.5" customHeight="1">
      <c r="A676" s="65"/>
      <c r="B676" s="13"/>
      <c r="C676" s="20"/>
      <c r="D676" s="20"/>
      <c r="E676" s="69"/>
      <c r="F676" s="70"/>
      <c r="G676" s="70"/>
      <c r="H676" s="13"/>
      <c r="I676" s="14"/>
      <c r="J676" s="13" t="str">
        <f ca="1">IFERROR(__xludf.DUMMYFUNCTION("IF(I672="""", """", RANK(I672, FILTER(I:I, I:I&lt;&gt;""""), 1))
"),"")</f>
        <v/>
      </c>
    </row>
    <row r="677" spans="1:10" ht="22.5" customHeight="1">
      <c r="A677" s="68"/>
      <c r="B677" s="20"/>
      <c r="C677" s="13"/>
      <c r="D677" s="13"/>
      <c r="E677" s="66"/>
      <c r="F677" s="67"/>
      <c r="G677" s="67"/>
      <c r="H677" s="20"/>
      <c r="I677" s="27"/>
      <c r="J677" s="20" t="str">
        <f ca="1">IFERROR(__xludf.DUMMYFUNCTION("IF(I673="""", """", RANK(I673, FILTER(I:I, I:I&lt;&gt;""""), 1))
"),"")</f>
        <v/>
      </c>
    </row>
    <row r="678" spans="1:10" ht="22.5" customHeight="1">
      <c r="A678" s="65"/>
      <c r="B678" s="13"/>
      <c r="C678" s="20"/>
      <c r="D678" s="20"/>
      <c r="E678" s="69"/>
      <c r="F678" s="70"/>
      <c r="G678" s="70"/>
      <c r="H678" s="13"/>
      <c r="I678" s="14"/>
      <c r="J678" s="13" t="str">
        <f ca="1">IFERROR(__xludf.DUMMYFUNCTION("IF(I674="""", """", RANK(I674, FILTER(I:I, I:I&lt;&gt;""""), 1))
"),"")</f>
        <v/>
      </c>
    </row>
    <row r="679" spans="1:10" ht="22.5" customHeight="1">
      <c r="A679" s="68"/>
      <c r="B679" s="20"/>
      <c r="C679" s="13"/>
      <c r="D679" s="13"/>
      <c r="E679" s="66"/>
      <c r="F679" s="67"/>
      <c r="G679" s="67"/>
      <c r="H679" s="20"/>
      <c r="I679" s="27"/>
      <c r="J679" s="20" t="str">
        <f ca="1">IFERROR(__xludf.DUMMYFUNCTION("IF(I675="""", """", RANK(I675, FILTER(I:I, I:I&lt;&gt;""""), 1))
"),"")</f>
        <v/>
      </c>
    </row>
    <row r="680" spans="1:10" ht="22.5" customHeight="1">
      <c r="A680" s="65"/>
      <c r="B680" s="13"/>
      <c r="C680" s="20"/>
      <c r="D680" s="20"/>
      <c r="E680" s="69"/>
      <c r="F680" s="70"/>
      <c r="G680" s="70"/>
      <c r="H680" s="13"/>
      <c r="I680" s="14"/>
      <c r="J680" s="13" t="str">
        <f ca="1">IFERROR(__xludf.DUMMYFUNCTION("IF(I676="""", """", RANK(I676, FILTER(I:I, I:I&lt;&gt;""""), 1))
"),"")</f>
        <v/>
      </c>
    </row>
    <row r="681" spans="1:10" ht="22.5" customHeight="1">
      <c r="A681" s="68"/>
      <c r="B681" s="20"/>
      <c r="C681" s="13"/>
      <c r="D681" s="13"/>
      <c r="E681" s="66"/>
      <c r="F681" s="67"/>
      <c r="G681" s="67"/>
      <c r="H681" s="20"/>
      <c r="I681" s="27"/>
      <c r="J681" s="20" t="str">
        <f ca="1">IFERROR(__xludf.DUMMYFUNCTION("IF(I677="""", """", RANK(I677, FILTER(I:I, I:I&lt;&gt;""""), 1))
"),"")</f>
        <v/>
      </c>
    </row>
    <row r="682" spans="1:10" ht="22.5" customHeight="1">
      <c r="A682" s="65"/>
      <c r="B682" s="13"/>
      <c r="C682" s="20"/>
      <c r="D682" s="20"/>
      <c r="E682" s="69"/>
      <c r="F682" s="70"/>
      <c r="G682" s="70"/>
      <c r="H682" s="13"/>
      <c r="I682" s="14"/>
      <c r="J682" s="13" t="str">
        <f ca="1">IFERROR(__xludf.DUMMYFUNCTION("IF(I678="""", """", RANK(I678, FILTER(I:I, I:I&lt;&gt;""""), 1))
"),"")</f>
        <v/>
      </c>
    </row>
    <row r="683" spans="1:10" ht="22.5" customHeight="1">
      <c r="A683" s="68"/>
      <c r="B683" s="20"/>
      <c r="C683" s="13"/>
      <c r="D683" s="13"/>
      <c r="E683" s="66"/>
      <c r="F683" s="67"/>
      <c r="G683" s="67"/>
      <c r="H683" s="20"/>
      <c r="I683" s="27"/>
      <c r="J683" s="20" t="str">
        <f ca="1">IFERROR(__xludf.DUMMYFUNCTION("IF(I679="""", """", RANK(I679, FILTER(I:I, I:I&lt;&gt;""""), 1))
"),"")</f>
        <v/>
      </c>
    </row>
    <row r="684" spans="1:10" ht="22.5" customHeight="1">
      <c r="A684" s="65"/>
      <c r="B684" s="13"/>
      <c r="C684" s="20"/>
      <c r="D684" s="20"/>
      <c r="E684" s="69"/>
      <c r="F684" s="70"/>
      <c r="G684" s="70"/>
      <c r="H684" s="13"/>
      <c r="I684" s="14"/>
      <c r="J684" s="13" t="str">
        <f ca="1">IFERROR(__xludf.DUMMYFUNCTION("IF(I680="""", """", RANK(I680, FILTER(I:I, I:I&lt;&gt;""""), 1))
"),"")</f>
        <v/>
      </c>
    </row>
    <row r="685" spans="1:10" ht="22.5" customHeight="1">
      <c r="A685" s="68"/>
      <c r="B685" s="20"/>
      <c r="C685" s="13"/>
      <c r="D685" s="13"/>
      <c r="E685" s="66"/>
      <c r="F685" s="67"/>
      <c r="G685" s="67"/>
      <c r="H685" s="20"/>
      <c r="I685" s="27"/>
      <c r="J685" s="20" t="str">
        <f ca="1">IFERROR(__xludf.DUMMYFUNCTION("IF(I681="""", """", RANK(I681, FILTER(I:I, I:I&lt;&gt;""""), 1))
"),"")</f>
        <v/>
      </c>
    </row>
    <row r="686" spans="1:10" ht="22.5" customHeight="1">
      <c r="A686" s="65"/>
      <c r="B686" s="13"/>
      <c r="C686" s="20"/>
      <c r="D686" s="20"/>
      <c r="E686" s="69"/>
      <c r="F686" s="70"/>
      <c r="G686" s="70"/>
      <c r="H686" s="13"/>
      <c r="I686" s="14"/>
      <c r="J686" s="13" t="str">
        <f ca="1">IFERROR(__xludf.DUMMYFUNCTION("IF(I682="""", """", RANK(I682, FILTER(I:I, I:I&lt;&gt;""""), 1))
"),"")</f>
        <v/>
      </c>
    </row>
    <row r="687" spans="1:10" ht="22.5" customHeight="1">
      <c r="A687" s="68"/>
      <c r="B687" s="20"/>
      <c r="C687" s="13"/>
      <c r="D687" s="13"/>
      <c r="E687" s="66"/>
      <c r="F687" s="67"/>
      <c r="G687" s="67"/>
      <c r="H687" s="20"/>
      <c r="I687" s="27"/>
      <c r="J687" s="20" t="str">
        <f ca="1">IFERROR(__xludf.DUMMYFUNCTION("IF(I683="""", """", RANK(I683, FILTER(I:I, I:I&lt;&gt;""""), 1))
"),"")</f>
        <v/>
      </c>
    </row>
    <row r="688" spans="1:10" ht="22.5" customHeight="1">
      <c r="A688" s="65"/>
      <c r="B688" s="13"/>
      <c r="C688" s="20"/>
      <c r="D688" s="20"/>
      <c r="E688" s="69"/>
      <c r="F688" s="70"/>
      <c r="G688" s="70"/>
      <c r="H688" s="13"/>
      <c r="I688" s="14"/>
      <c r="J688" s="13" t="str">
        <f ca="1">IFERROR(__xludf.DUMMYFUNCTION("IF(I684="""", """", RANK(I684, FILTER(I:I, I:I&lt;&gt;""""), 1))
"),"")</f>
        <v/>
      </c>
    </row>
    <row r="689" spans="1:10" ht="22.5" customHeight="1">
      <c r="A689" s="68"/>
      <c r="B689" s="20"/>
      <c r="C689" s="13"/>
      <c r="D689" s="13"/>
      <c r="E689" s="66"/>
      <c r="F689" s="67"/>
      <c r="G689" s="67"/>
      <c r="H689" s="20"/>
      <c r="I689" s="27"/>
      <c r="J689" s="20" t="str">
        <f ca="1">IFERROR(__xludf.DUMMYFUNCTION("IF(I685="""", """", RANK(I685, FILTER(I:I, I:I&lt;&gt;""""), 1))
"),"")</f>
        <v/>
      </c>
    </row>
    <row r="690" spans="1:10" ht="22.5" customHeight="1">
      <c r="A690" s="65"/>
      <c r="B690" s="13"/>
      <c r="C690" s="20"/>
      <c r="D690" s="20"/>
      <c r="E690" s="69"/>
      <c r="F690" s="70"/>
      <c r="G690" s="70"/>
      <c r="H690" s="13"/>
      <c r="I690" s="14"/>
      <c r="J690" s="13" t="str">
        <f ca="1">IFERROR(__xludf.DUMMYFUNCTION("IF(I686="""", """", RANK(I686, FILTER(I:I, I:I&lt;&gt;""""), 1))
"),"")</f>
        <v/>
      </c>
    </row>
    <row r="691" spans="1:10" ht="22.5" customHeight="1">
      <c r="A691" s="68"/>
      <c r="B691" s="20"/>
      <c r="C691" s="13"/>
      <c r="D691" s="13"/>
      <c r="E691" s="66"/>
      <c r="F691" s="67"/>
      <c r="G691" s="67"/>
      <c r="H691" s="20"/>
      <c r="I691" s="27"/>
      <c r="J691" s="20" t="str">
        <f ca="1">IFERROR(__xludf.DUMMYFUNCTION("IF(I687="""", """", RANK(I687, FILTER(I:I, I:I&lt;&gt;""""), 1))
"),"")</f>
        <v/>
      </c>
    </row>
    <row r="692" spans="1:10" ht="22.5" customHeight="1">
      <c r="A692" s="65"/>
      <c r="B692" s="13"/>
      <c r="C692" s="20"/>
      <c r="D692" s="20"/>
      <c r="E692" s="69"/>
      <c r="F692" s="70"/>
      <c r="G692" s="70"/>
      <c r="H692" s="13"/>
      <c r="I692" s="14"/>
      <c r="J692" s="13" t="str">
        <f ca="1">IFERROR(__xludf.DUMMYFUNCTION("IF(I688="""", """", RANK(I688, FILTER(I:I, I:I&lt;&gt;""""), 1))
"),"")</f>
        <v/>
      </c>
    </row>
    <row r="693" spans="1:10" ht="22.5" customHeight="1">
      <c r="A693" s="68"/>
      <c r="B693" s="20"/>
      <c r="C693" s="13"/>
      <c r="D693" s="13"/>
      <c r="E693" s="66"/>
      <c r="F693" s="67"/>
      <c r="G693" s="67"/>
      <c r="H693" s="20"/>
      <c r="I693" s="27"/>
      <c r="J693" s="20" t="str">
        <f ca="1">IFERROR(__xludf.DUMMYFUNCTION("IF(I689="""", """", RANK(I689, FILTER(I:I, I:I&lt;&gt;""""), 1))
"),"")</f>
        <v/>
      </c>
    </row>
    <row r="694" spans="1:10" ht="22.5" customHeight="1">
      <c r="A694" s="65"/>
      <c r="B694" s="13"/>
      <c r="C694" s="20"/>
      <c r="D694" s="20"/>
      <c r="E694" s="69"/>
      <c r="F694" s="70"/>
      <c r="G694" s="70"/>
      <c r="H694" s="13"/>
      <c r="I694" s="14"/>
      <c r="J694" s="13" t="str">
        <f ca="1">IFERROR(__xludf.DUMMYFUNCTION("IF(I690="""", """", RANK(I690, FILTER(I:I, I:I&lt;&gt;""""), 1))
"),"")</f>
        <v/>
      </c>
    </row>
    <row r="695" spans="1:10" ht="22.5" customHeight="1">
      <c r="A695" s="68"/>
      <c r="B695" s="20"/>
      <c r="C695" s="13"/>
      <c r="D695" s="13"/>
      <c r="E695" s="66"/>
      <c r="F695" s="67"/>
      <c r="G695" s="67"/>
      <c r="H695" s="20"/>
      <c r="I695" s="27"/>
      <c r="J695" s="20" t="str">
        <f ca="1">IFERROR(__xludf.DUMMYFUNCTION("IF(I691="""", """", RANK(I691, FILTER(I:I, I:I&lt;&gt;""""), 1))
"),"")</f>
        <v/>
      </c>
    </row>
    <row r="696" spans="1:10" ht="22.5" customHeight="1">
      <c r="A696" s="65"/>
      <c r="B696" s="13"/>
      <c r="C696" s="20"/>
      <c r="D696" s="20"/>
      <c r="E696" s="69"/>
      <c r="F696" s="70"/>
      <c r="G696" s="70"/>
      <c r="H696" s="13"/>
      <c r="I696" s="14"/>
      <c r="J696" s="13" t="str">
        <f ca="1">IFERROR(__xludf.DUMMYFUNCTION("IF(I692="""", """", RANK(I692, FILTER(I:I, I:I&lt;&gt;""""), 1))
"),"")</f>
        <v/>
      </c>
    </row>
    <row r="697" spans="1:10" ht="22.5" customHeight="1">
      <c r="A697" s="68"/>
      <c r="B697" s="20"/>
      <c r="C697" s="13"/>
      <c r="D697" s="13"/>
      <c r="E697" s="66"/>
      <c r="F697" s="67"/>
      <c r="G697" s="67"/>
      <c r="H697" s="20"/>
      <c r="I697" s="27"/>
      <c r="J697" s="20" t="str">
        <f ca="1">IFERROR(__xludf.DUMMYFUNCTION("IF(I693="""", """", RANK(I693, FILTER(I:I, I:I&lt;&gt;""""), 1))
"),"")</f>
        <v/>
      </c>
    </row>
    <row r="698" spans="1:10" ht="22.5" customHeight="1">
      <c r="A698" s="65"/>
      <c r="B698" s="13"/>
      <c r="C698" s="20"/>
      <c r="D698" s="20"/>
      <c r="E698" s="69"/>
      <c r="F698" s="70"/>
      <c r="G698" s="70"/>
      <c r="H698" s="13"/>
      <c r="I698" s="14"/>
      <c r="J698" s="13" t="str">
        <f ca="1">IFERROR(__xludf.DUMMYFUNCTION("IF(I694="""", """", RANK(I694, FILTER(I:I, I:I&lt;&gt;""""), 1))
"),"")</f>
        <v/>
      </c>
    </row>
    <row r="699" spans="1:10" ht="22.5" customHeight="1">
      <c r="A699" s="68"/>
      <c r="B699" s="20"/>
      <c r="C699" s="13"/>
      <c r="D699" s="13"/>
      <c r="E699" s="66"/>
      <c r="F699" s="67"/>
      <c r="G699" s="67"/>
      <c r="H699" s="20"/>
      <c r="I699" s="27"/>
      <c r="J699" s="20" t="str">
        <f ca="1">IFERROR(__xludf.DUMMYFUNCTION("IF(I695="""", """", RANK(I695, FILTER(I:I, I:I&lt;&gt;""""), 1))
"),"")</f>
        <v/>
      </c>
    </row>
    <row r="700" spans="1:10" ht="22.5" customHeight="1">
      <c r="A700" s="65"/>
      <c r="B700" s="13"/>
      <c r="C700" s="20"/>
      <c r="D700" s="20"/>
      <c r="E700" s="69"/>
      <c r="F700" s="70"/>
      <c r="G700" s="70"/>
      <c r="H700" s="13"/>
      <c r="I700" s="14"/>
      <c r="J700" s="13" t="str">
        <f ca="1">IFERROR(__xludf.DUMMYFUNCTION("IF(I696="""", """", RANK(I696, FILTER(I:I, I:I&lt;&gt;""""), 1))
"),"")</f>
        <v/>
      </c>
    </row>
    <row r="701" spans="1:10" ht="22.5" customHeight="1">
      <c r="A701" s="68"/>
      <c r="B701" s="20"/>
      <c r="C701" s="13"/>
      <c r="D701" s="13"/>
      <c r="E701" s="66"/>
      <c r="F701" s="67"/>
      <c r="G701" s="67"/>
      <c r="H701" s="20"/>
      <c r="I701" s="27"/>
      <c r="J701" s="20" t="str">
        <f ca="1">IFERROR(__xludf.DUMMYFUNCTION("IF(I697="""", """", RANK(I697, FILTER(I:I, I:I&lt;&gt;""""), 1))
"),"")</f>
        <v/>
      </c>
    </row>
    <row r="702" spans="1:10" ht="22.5" customHeight="1">
      <c r="A702" s="65"/>
      <c r="B702" s="13"/>
      <c r="C702" s="20"/>
      <c r="D702" s="20"/>
      <c r="E702" s="69"/>
      <c r="F702" s="70"/>
      <c r="G702" s="70"/>
      <c r="H702" s="13"/>
      <c r="I702" s="14"/>
      <c r="J702" s="13" t="str">
        <f ca="1">IFERROR(__xludf.DUMMYFUNCTION("IF(I698="""", """", RANK(I698, FILTER(I:I, I:I&lt;&gt;""""), 1))
"),"")</f>
        <v/>
      </c>
    </row>
    <row r="703" spans="1:10" ht="22.5" customHeight="1">
      <c r="A703" s="68"/>
      <c r="B703" s="20"/>
      <c r="C703" s="13"/>
      <c r="D703" s="13"/>
      <c r="E703" s="66"/>
      <c r="F703" s="67"/>
      <c r="G703" s="67"/>
      <c r="H703" s="20"/>
      <c r="I703" s="27"/>
      <c r="J703" s="20" t="str">
        <f ca="1">IFERROR(__xludf.DUMMYFUNCTION("IF(I699="""", """", RANK(I699, FILTER(I:I, I:I&lt;&gt;""""), 1))
"),"")</f>
        <v/>
      </c>
    </row>
    <row r="704" spans="1:10" ht="22.5" customHeight="1">
      <c r="A704" s="65"/>
      <c r="B704" s="13"/>
      <c r="C704" s="20"/>
      <c r="D704" s="20"/>
      <c r="E704" s="69"/>
      <c r="F704" s="70"/>
      <c r="G704" s="70"/>
      <c r="H704" s="13"/>
      <c r="I704" s="14"/>
      <c r="J704" s="13" t="str">
        <f ca="1">IFERROR(__xludf.DUMMYFUNCTION("IF(I700="""", """", RANK(I700, FILTER(I:I, I:I&lt;&gt;""""), 1))
"),"")</f>
        <v/>
      </c>
    </row>
    <row r="705" spans="1:10" ht="22.5" customHeight="1">
      <c r="A705" s="68"/>
      <c r="B705" s="20"/>
      <c r="C705" s="13"/>
      <c r="D705" s="13"/>
      <c r="E705" s="66"/>
      <c r="F705" s="67"/>
      <c r="G705" s="67"/>
      <c r="H705" s="20"/>
      <c r="I705" s="27"/>
      <c r="J705" s="20" t="str">
        <f ca="1">IFERROR(__xludf.DUMMYFUNCTION("IF(I701="""", """", RANK(I701, FILTER(I:I, I:I&lt;&gt;""""), 1))
"),"")</f>
        <v/>
      </c>
    </row>
    <row r="706" spans="1:10" ht="22.5" customHeight="1">
      <c r="A706" s="65"/>
      <c r="B706" s="13"/>
      <c r="C706" s="20"/>
      <c r="D706" s="20"/>
      <c r="E706" s="69"/>
      <c r="F706" s="70"/>
      <c r="G706" s="70"/>
      <c r="H706" s="13"/>
      <c r="I706" s="14"/>
      <c r="J706" s="13" t="str">
        <f ca="1">IFERROR(__xludf.DUMMYFUNCTION("IF(I702="""", """", RANK(I702, FILTER(I:I, I:I&lt;&gt;""""), 1))
"),"")</f>
        <v/>
      </c>
    </row>
    <row r="707" spans="1:10" ht="22.5" customHeight="1">
      <c r="A707" s="68"/>
      <c r="B707" s="20"/>
      <c r="C707" s="13"/>
      <c r="D707" s="13"/>
      <c r="E707" s="66"/>
      <c r="F707" s="67"/>
      <c r="G707" s="67"/>
      <c r="H707" s="20"/>
      <c r="I707" s="27"/>
      <c r="J707" s="20" t="str">
        <f ca="1">IFERROR(__xludf.DUMMYFUNCTION("IF(I703="""", """", RANK(I703, FILTER(I:I, I:I&lt;&gt;""""), 1))
"),"")</f>
        <v/>
      </c>
    </row>
    <row r="708" spans="1:10" ht="22.5" customHeight="1">
      <c r="A708" s="65"/>
      <c r="B708" s="13"/>
      <c r="C708" s="20"/>
      <c r="D708" s="20"/>
      <c r="E708" s="69"/>
      <c r="F708" s="70"/>
      <c r="G708" s="70"/>
      <c r="H708" s="13"/>
      <c r="I708" s="14"/>
      <c r="J708" s="13" t="str">
        <f ca="1">IFERROR(__xludf.DUMMYFUNCTION("IF(I704="""", """", RANK(I704, FILTER(I:I, I:I&lt;&gt;""""), 1))
"),"")</f>
        <v/>
      </c>
    </row>
    <row r="709" spans="1:10" ht="22.5" customHeight="1">
      <c r="A709" s="68"/>
      <c r="B709" s="20"/>
      <c r="C709" s="13"/>
      <c r="D709" s="13"/>
      <c r="E709" s="66"/>
      <c r="F709" s="67"/>
      <c r="G709" s="67"/>
      <c r="H709" s="20"/>
      <c r="I709" s="27"/>
      <c r="J709" s="20" t="str">
        <f ca="1">IFERROR(__xludf.DUMMYFUNCTION("IF(I705="""", """", RANK(I705, FILTER(I:I, I:I&lt;&gt;""""), 1))
"),"")</f>
        <v/>
      </c>
    </row>
    <row r="710" spans="1:10" ht="22.5" customHeight="1">
      <c r="A710" s="65"/>
      <c r="B710" s="13"/>
      <c r="C710" s="20"/>
      <c r="D710" s="20"/>
      <c r="E710" s="69"/>
      <c r="F710" s="70"/>
      <c r="G710" s="70"/>
      <c r="H710" s="13"/>
      <c r="I710" s="14"/>
      <c r="J710" s="13" t="str">
        <f ca="1">IFERROR(__xludf.DUMMYFUNCTION("IF(I706="""", """", RANK(I706, FILTER(I:I, I:I&lt;&gt;""""), 1))
"),"")</f>
        <v/>
      </c>
    </row>
    <row r="711" spans="1:10" ht="22.5" customHeight="1">
      <c r="A711" s="68"/>
      <c r="B711" s="20"/>
      <c r="C711" s="13"/>
      <c r="D711" s="13"/>
      <c r="E711" s="66"/>
      <c r="F711" s="67"/>
      <c r="G711" s="67"/>
      <c r="H711" s="20"/>
      <c r="I711" s="27"/>
      <c r="J711" s="20" t="str">
        <f ca="1">IFERROR(__xludf.DUMMYFUNCTION("IF(I707="""", """", RANK(I707, FILTER(I:I, I:I&lt;&gt;""""), 1))
"),"")</f>
        <v/>
      </c>
    </row>
    <row r="712" spans="1:10" ht="22.5" customHeight="1">
      <c r="A712" s="65"/>
      <c r="B712" s="13"/>
      <c r="C712" s="20"/>
      <c r="D712" s="20"/>
      <c r="E712" s="69"/>
      <c r="F712" s="70"/>
      <c r="G712" s="70"/>
      <c r="H712" s="13"/>
      <c r="I712" s="14"/>
      <c r="J712" s="13" t="str">
        <f ca="1">IFERROR(__xludf.DUMMYFUNCTION("IF(I708="""", """", RANK(I708, FILTER(I:I, I:I&lt;&gt;""""), 1))
"),"")</f>
        <v/>
      </c>
    </row>
    <row r="713" spans="1:10" ht="22.5" customHeight="1">
      <c r="A713" s="68"/>
      <c r="B713" s="20"/>
      <c r="C713" s="13"/>
      <c r="D713" s="13"/>
      <c r="E713" s="66"/>
      <c r="F713" s="67"/>
      <c r="G713" s="67"/>
      <c r="H713" s="20"/>
      <c r="I713" s="27"/>
      <c r="J713" s="20" t="str">
        <f ca="1">IFERROR(__xludf.DUMMYFUNCTION("IF(I709="""", """", RANK(I709, FILTER(I:I, I:I&lt;&gt;""""), 1))
"),"")</f>
        <v/>
      </c>
    </row>
    <row r="714" spans="1:10" ht="22.5" customHeight="1">
      <c r="A714" s="65"/>
      <c r="B714" s="13"/>
      <c r="C714" s="20"/>
      <c r="D714" s="20"/>
      <c r="E714" s="69"/>
      <c r="F714" s="70"/>
      <c r="G714" s="70"/>
      <c r="H714" s="13"/>
      <c r="I714" s="14"/>
      <c r="J714" s="13" t="str">
        <f ca="1">IFERROR(__xludf.DUMMYFUNCTION("IF(I710="""", """", RANK(I710, FILTER(I:I, I:I&lt;&gt;""""), 1))
"),"")</f>
        <v/>
      </c>
    </row>
    <row r="715" spans="1:10" ht="22.5" customHeight="1">
      <c r="A715" s="68"/>
      <c r="B715" s="20"/>
      <c r="C715" s="13"/>
      <c r="D715" s="13"/>
      <c r="E715" s="66"/>
      <c r="F715" s="67"/>
      <c r="G715" s="67"/>
      <c r="H715" s="20"/>
      <c r="I715" s="27"/>
      <c r="J715" s="20" t="str">
        <f ca="1">IFERROR(__xludf.DUMMYFUNCTION("IF(I711="""", """", RANK(I711, FILTER(I:I, I:I&lt;&gt;""""), 1))
"),"")</f>
        <v/>
      </c>
    </row>
    <row r="716" spans="1:10" ht="22.5" customHeight="1">
      <c r="A716" s="65"/>
      <c r="B716" s="13"/>
      <c r="C716" s="20"/>
      <c r="D716" s="20"/>
      <c r="E716" s="69"/>
      <c r="F716" s="70"/>
      <c r="G716" s="70"/>
      <c r="H716" s="13"/>
      <c r="I716" s="14"/>
      <c r="J716" s="13" t="str">
        <f ca="1">IFERROR(__xludf.DUMMYFUNCTION("IF(I712="""", """", RANK(I712, FILTER(I:I, I:I&lt;&gt;""""), 1))
"),"")</f>
        <v/>
      </c>
    </row>
    <row r="717" spans="1:10" ht="22.5" customHeight="1">
      <c r="A717" s="68"/>
      <c r="B717" s="20"/>
      <c r="C717" s="13"/>
      <c r="D717" s="13"/>
      <c r="E717" s="66"/>
      <c r="F717" s="67"/>
      <c r="G717" s="67"/>
      <c r="H717" s="20"/>
      <c r="I717" s="27"/>
      <c r="J717" s="20" t="str">
        <f ca="1">IFERROR(__xludf.DUMMYFUNCTION("IF(I713="""", """", RANK(I713, FILTER(I:I, I:I&lt;&gt;""""), 1))
"),"")</f>
        <v/>
      </c>
    </row>
    <row r="718" spans="1:10" ht="22.5" customHeight="1">
      <c r="A718" s="65"/>
      <c r="B718" s="13"/>
      <c r="C718" s="20"/>
      <c r="D718" s="20"/>
      <c r="E718" s="69"/>
      <c r="F718" s="70"/>
      <c r="G718" s="70"/>
      <c r="H718" s="13"/>
      <c r="I718" s="14"/>
      <c r="J718" s="13" t="str">
        <f ca="1">IFERROR(__xludf.DUMMYFUNCTION("IF(I714="""", """", RANK(I714, FILTER(I:I, I:I&lt;&gt;""""), 1))
"),"")</f>
        <v/>
      </c>
    </row>
    <row r="719" spans="1:10" ht="22.5" customHeight="1">
      <c r="A719" s="68"/>
      <c r="B719" s="20"/>
      <c r="C719" s="13"/>
      <c r="D719" s="13"/>
      <c r="E719" s="66"/>
      <c r="F719" s="67"/>
      <c r="G719" s="67"/>
      <c r="H719" s="20"/>
      <c r="I719" s="27"/>
      <c r="J719" s="20" t="str">
        <f ca="1">IFERROR(__xludf.DUMMYFUNCTION("IF(I715="""", """", RANK(I715, FILTER(I:I, I:I&lt;&gt;""""), 1))
"),"")</f>
        <v/>
      </c>
    </row>
    <row r="720" spans="1:10" ht="22.5" customHeight="1">
      <c r="A720" s="65"/>
      <c r="B720" s="13"/>
      <c r="C720" s="20"/>
      <c r="D720" s="20"/>
      <c r="E720" s="69"/>
      <c r="F720" s="70"/>
      <c r="G720" s="70"/>
      <c r="H720" s="13"/>
      <c r="I720" s="14"/>
      <c r="J720" s="13" t="str">
        <f ca="1">IFERROR(__xludf.DUMMYFUNCTION("IF(I716="""", """", RANK(I716, FILTER(I:I, I:I&lt;&gt;""""), 1))
"),"")</f>
        <v/>
      </c>
    </row>
    <row r="721" spans="1:10" ht="22.5" customHeight="1">
      <c r="A721" s="68"/>
      <c r="B721" s="20"/>
      <c r="C721" s="13"/>
      <c r="D721" s="13"/>
      <c r="E721" s="66"/>
      <c r="F721" s="67"/>
      <c r="G721" s="67"/>
      <c r="H721" s="20"/>
      <c r="I721" s="27"/>
      <c r="J721" s="20" t="str">
        <f ca="1">IFERROR(__xludf.DUMMYFUNCTION("IF(I717="""", """", RANK(I717, FILTER(I:I, I:I&lt;&gt;""""), 1))
"),"")</f>
        <v/>
      </c>
    </row>
    <row r="722" spans="1:10" ht="22.5" customHeight="1">
      <c r="A722" s="65"/>
      <c r="B722" s="13"/>
      <c r="C722" s="20"/>
      <c r="D722" s="20"/>
      <c r="E722" s="69"/>
      <c r="F722" s="70"/>
      <c r="G722" s="70"/>
      <c r="H722" s="13"/>
      <c r="I722" s="14"/>
      <c r="J722" s="13" t="str">
        <f ca="1">IFERROR(__xludf.DUMMYFUNCTION("IF(I718="""", """", RANK(I718, FILTER(I:I, I:I&lt;&gt;""""), 1))
"),"")</f>
        <v/>
      </c>
    </row>
    <row r="723" spans="1:10" ht="22.5" customHeight="1">
      <c r="A723" s="68"/>
      <c r="B723" s="20"/>
      <c r="C723" s="13"/>
      <c r="D723" s="13"/>
      <c r="E723" s="66"/>
      <c r="F723" s="67"/>
      <c r="G723" s="67"/>
      <c r="H723" s="20"/>
      <c r="I723" s="27"/>
      <c r="J723" s="20" t="str">
        <f ca="1">IFERROR(__xludf.DUMMYFUNCTION("IF(I719="""", """", RANK(I719, FILTER(I:I, I:I&lt;&gt;""""), 1))
"),"")</f>
        <v/>
      </c>
    </row>
    <row r="724" spans="1:10" ht="22.5" customHeight="1">
      <c r="A724" s="65"/>
      <c r="B724" s="13"/>
      <c r="C724" s="20"/>
      <c r="D724" s="20"/>
      <c r="E724" s="69"/>
      <c r="F724" s="70"/>
      <c r="G724" s="70"/>
      <c r="H724" s="13"/>
      <c r="I724" s="14"/>
      <c r="J724" s="13" t="str">
        <f ca="1">IFERROR(__xludf.DUMMYFUNCTION("IF(I720="""", """", RANK(I720, FILTER(I:I, I:I&lt;&gt;""""), 1))
"),"")</f>
        <v/>
      </c>
    </row>
    <row r="725" spans="1:10" ht="22.5" customHeight="1">
      <c r="A725" s="68"/>
      <c r="B725" s="20"/>
      <c r="C725" s="13"/>
      <c r="D725" s="13"/>
      <c r="E725" s="66"/>
      <c r="F725" s="67"/>
      <c r="G725" s="67"/>
      <c r="H725" s="20"/>
      <c r="I725" s="27"/>
      <c r="J725" s="20" t="str">
        <f ca="1">IFERROR(__xludf.DUMMYFUNCTION("IF(I721="""", """", RANK(I721, FILTER(I:I, I:I&lt;&gt;""""), 1))
"),"")</f>
        <v/>
      </c>
    </row>
    <row r="726" spans="1:10" ht="22.5" customHeight="1">
      <c r="A726" s="65"/>
      <c r="B726" s="13"/>
      <c r="C726" s="20"/>
      <c r="D726" s="20"/>
      <c r="E726" s="69"/>
      <c r="F726" s="70"/>
      <c r="G726" s="70"/>
      <c r="H726" s="13"/>
      <c r="I726" s="14"/>
      <c r="J726" s="13" t="str">
        <f ca="1">IFERROR(__xludf.DUMMYFUNCTION("IF(I722="""", """", RANK(I722, FILTER(I:I, I:I&lt;&gt;""""), 1))
"),"")</f>
        <v/>
      </c>
    </row>
    <row r="727" spans="1:10" ht="22.5" customHeight="1">
      <c r="A727" s="68"/>
      <c r="B727" s="20"/>
      <c r="C727" s="13"/>
      <c r="D727" s="13"/>
      <c r="E727" s="66"/>
      <c r="F727" s="67"/>
      <c r="G727" s="67"/>
      <c r="H727" s="20"/>
      <c r="I727" s="27"/>
      <c r="J727" s="20" t="str">
        <f ca="1">IFERROR(__xludf.DUMMYFUNCTION("IF(I723="""", """", RANK(I723, FILTER(I:I, I:I&lt;&gt;""""), 1))
"),"")</f>
        <v/>
      </c>
    </row>
    <row r="728" spans="1:10" ht="22.5" customHeight="1">
      <c r="A728" s="65"/>
      <c r="B728" s="13"/>
      <c r="C728" s="20"/>
      <c r="D728" s="20"/>
      <c r="E728" s="69"/>
      <c r="F728" s="70"/>
      <c r="G728" s="70"/>
      <c r="H728" s="13"/>
      <c r="I728" s="14"/>
      <c r="J728" s="13" t="str">
        <f ca="1">IFERROR(__xludf.DUMMYFUNCTION("IF(I724="""", """", RANK(I724, FILTER(I:I, I:I&lt;&gt;""""), 1))
"),"")</f>
        <v/>
      </c>
    </row>
    <row r="729" spans="1:10" ht="22.5" customHeight="1">
      <c r="A729" s="68"/>
      <c r="B729" s="20"/>
      <c r="C729" s="13"/>
      <c r="D729" s="13"/>
      <c r="E729" s="66"/>
      <c r="F729" s="67"/>
      <c r="G729" s="67"/>
      <c r="H729" s="20"/>
      <c r="I729" s="27"/>
      <c r="J729" s="20" t="str">
        <f ca="1">IFERROR(__xludf.DUMMYFUNCTION("IF(I725="""", """", RANK(I725, FILTER(I:I, I:I&lt;&gt;""""), 1))
"),"")</f>
        <v/>
      </c>
    </row>
    <row r="730" spans="1:10" ht="22.5" customHeight="1">
      <c r="A730" s="65"/>
      <c r="B730" s="13"/>
      <c r="C730" s="20"/>
      <c r="D730" s="20"/>
      <c r="E730" s="69"/>
      <c r="F730" s="70"/>
      <c r="G730" s="70"/>
      <c r="H730" s="13"/>
      <c r="I730" s="14"/>
      <c r="J730" s="13" t="str">
        <f ca="1">IFERROR(__xludf.DUMMYFUNCTION("IF(I726="""", """", RANK(I726, FILTER(I:I, I:I&lt;&gt;""""), 1))
"),"")</f>
        <v/>
      </c>
    </row>
    <row r="731" spans="1:10" ht="22.5" customHeight="1">
      <c r="A731" s="68"/>
      <c r="B731" s="20"/>
      <c r="C731" s="13"/>
      <c r="D731" s="13"/>
      <c r="E731" s="66"/>
      <c r="F731" s="67"/>
      <c r="G731" s="67"/>
      <c r="H731" s="20"/>
      <c r="I731" s="27"/>
      <c r="J731" s="20" t="str">
        <f ca="1">IFERROR(__xludf.DUMMYFUNCTION("IF(I727="""", """", RANK(I727, FILTER(I:I, I:I&lt;&gt;""""), 1))
"),"")</f>
        <v/>
      </c>
    </row>
    <row r="732" spans="1:10" ht="22.5" customHeight="1">
      <c r="A732" s="65"/>
      <c r="B732" s="13"/>
      <c r="C732" s="20"/>
      <c r="D732" s="20"/>
      <c r="E732" s="69"/>
      <c r="F732" s="70"/>
      <c r="G732" s="70"/>
      <c r="H732" s="13"/>
      <c r="I732" s="14"/>
      <c r="J732" s="13" t="str">
        <f ca="1">IFERROR(__xludf.DUMMYFUNCTION("IF(I728="""", """", RANK(I728, FILTER(I:I, I:I&lt;&gt;""""), 1))
"),"")</f>
        <v/>
      </c>
    </row>
    <row r="733" spans="1:10" ht="22.5" customHeight="1">
      <c r="A733" s="68"/>
      <c r="B733" s="20"/>
      <c r="C733" s="13"/>
      <c r="D733" s="13"/>
      <c r="E733" s="66"/>
      <c r="F733" s="67"/>
      <c r="G733" s="67"/>
      <c r="H733" s="20"/>
      <c r="I733" s="27"/>
      <c r="J733" s="20" t="str">
        <f ca="1">IFERROR(__xludf.DUMMYFUNCTION("IF(I729="""", """", RANK(I729, FILTER(I:I, I:I&lt;&gt;""""), 1))
"),"")</f>
        <v/>
      </c>
    </row>
    <row r="734" spans="1:10" ht="22.5" customHeight="1">
      <c r="A734" s="65"/>
      <c r="B734" s="13"/>
      <c r="C734" s="20"/>
      <c r="D734" s="20"/>
      <c r="E734" s="69"/>
      <c r="F734" s="70"/>
      <c r="G734" s="70"/>
      <c r="H734" s="13"/>
      <c r="I734" s="14"/>
      <c r="J734" s="13" t="str">
        <f ca="1">IFERROR(__xludf.DUMMYFUNCTION("IF(I730="""", """", RANK(I730, FILTER(I:I, I:I&lt;&gt;""""), 1))
"),"")</f>
        <v/>
      </c>
    </row>
    <row r="735" spans="1:10" ht="22.5" customHeight="1">
      <c r="A735" s="68"/>
      <c r="B735" s="20"/>
      <c r="C735" s="13"/>
      <c r="D735" s="13"/>
      <c r="E735" s="66"/>
      <c r="F735" s="67"/>
      <c r="G735" s="67"/>
      <c r="H735" s="20"/>
      <c r="I735" s="27"/>
      <c r="J735" s="20" t="str">
        <f ca="1">IFERROR(__xludf.DUMMYFUNCTION("IF(I731="""", """", RANK(I731, FILTER(I:I, I:I&lt;&gt;""""), 1))
"),"")</f>
        <v/>
      </c>
    </row>
    <row r="736" spans="1:10" ht="22.5" customHeight="1">
      <c r="A736" s="65"/>
      <c r="B736" s="13"/>
      <c r="C736" s="20"/>
      <c r="D736" s="20"/>
      <c r="E736" s="69"/>
      <c r="F736" s="70"/>
      <c r="G736" s="70"/>
      <c r="H736" s="13"/>
      <c r="I736" s="14"/>
      <c r="J736" s="13" t="str">
        <f ca="1">IFERROR(__xludf.DUMMYFUNCTION("IF(I732="""", """", RANK(I732, FILTER(I:I, I:I&lt;&gt;""""), 1))
"),"")</f>
        <v/>
      </c>
    </row>
    <row r="737" spans="1:10" ht="22.5" customHeight="1">
      <c r="A737" s="68"/>
      <c r="B737" s="20"/>
      <c r="C737" s="13"/>
      <c r="D737" s="13"/>
      <c r="E737" s="66"/>
      <c r="F737" s="67"/>
      <c r="G737" s="67"/>
      <c r="H737" s="20"/>
      <c r="I737" s="27"/>
      <c r="J737" s="20" t="str">
        <f ca="1">IFERROR(__xludf.DUMMYFUNCTION("IF(I733="""", """", RANK(I733, FILTER(I:I, I:I&lt;&gt;""""), 1))
"),"")</f>
        <v/>
      </c>
    </row>
    <row r="738" spans="1:10" ht="22.5" customHeight="1">
      <c r="A738" s="65"/>
      <c r="B738" s="13"/>
      <c r="C738" s="20"/>
      <c r="D738" s="20"/>
      <c r="E738" s="69"/>
      <c r="F738" s="70"/>
      <c r="G738" s="70"/>
      <c r="H738" s="13"/>
      <c r="I738" s="14"/>
      <c r="J738" s="13" t="str">
        <f ca="1">IFERROR(__xludf.DUMMYFUNCTION("IF(I734="""", """", RANK(I734, FILTER(I:I, I:I&lt;&gt;""""), 1))
"),"")</f>
        <v/>
      </c>
    </row>
    <row r="739" spans="1:10" ht="22.5" customHeight="1">
      <c r="A739" s="68"/>
      <c r="B739" s="20"/>
      <c r="C739" s="13"/>
      <c r="D739" s="13"/>
      <c r="E739" s="66"/>
      <c r="F739" s="67"/>
      <c r="G739" s="67"/>
      <c r="H739" s="20"/>
      <c r="I739" s="27"/>
      <c r="J739" s="20" t="str">
        <f ca="1">IFERROR(__xludf.DUMMYFUNCTION("IF(I735="""", """", RANK(I735, FILTER(I:I, I:I&lt;&gt;""""), 1))
"),"")</f>
        <v/>
      </c>
    </row>
    <row r="740" spans="1:10" ht="22.5" customHeight="1">
      <c r="A740" s="65"/>
      <c r="B740" s="13"/>
      <c r="C740" s="20"/>
      <c r="D740" s="20"/>
      <c r="E740" s="69"/>
      <c r="F740" s="70"/>
      <c r="G740" s="70"/>
      <c r="H740" s="13"/>
      <c r="I740" s="14"/>
      <c r="J740" s="13" t="str">
        <f ca="1">IFERROR(__xludf.DUMMYFUNCTION("IF(I736="""", """", RANK(I736, FILTER(I:I, I:I&lt;&gt;""""), 1))
"),"")</f>
        <v/>
      </c>
    </row>
    <row r="741" spans="1:10" ht="22.5" customHeight="1">
      <c r="A741" s="68"/>
      <c r="B741" s="20"/>
      <c r="C741" s="13"/>
      <c r="D741" s="13"/>
      <c r="E741" s="66"/>
      <c r="F741" s="67"/>
      <c r="G741" s="67"/>
      <c r="H741" s="20"/>
      <c r="I741" s="27"/>
      <c r="J741" s="20" t="str">
        <f ca="1">IFERROR(__xludf.DUMMYFUNCTION("IF(I737="""", """", RANK(I737, FILTER(I:I, I:I&lt;&gt;""""), 1))
"),"")</f>
        <v/>
      </c>
    </row>
    <row r="742" spans="1:10" ht="22.5" customHeight="1">
      <c r="A742" s="65"/>
      <c r="B742" s="13"/>
      <c r="C742" s="20"/>
      <c r="D742" s="20"/>
      <c r="E742" s="69"/>
      <c r="F742" s="70"/>
      <c r="G742" s="70"/>
      <c r="H742" s="13"/>
      <c r="I742" s="14"/>
      <c r="J742" s="13" t="str">
        <f ca="1">IFERROR(__xludf.DUMMYFUNCTION("IF(I738="""", """", RANK(I738, FILTER(I:I, I:I&lt;&gt;""""), 1))
"),"")</f>
        <v/>
      </c>
    </row>
    <row r="743" spans="1:10" ht="22.5" customHeight="1">
      <c r="A743" s="68"/>
      <c r="B743" s="20"/>
      <c r="C743" s="13"/>
      <c r="D743" s="13"/>
      <c r="E743" s="66"/>
      <c r="F743" s="67"/>
      <c r="G743" s="67"/>
      <c r="H743" s="20"/>
      <c r="I743" s="27"/>
      <c r="J743" s="20" t="str">
        <f ca="1">IFERROR(__xludf.DUMMYFUNCTION("IF(I739="""", """", RANK(I739, FILTER(I:I, I:I&lt;&gt;""""), 1))
"),"")</f>
        <v/>
      </c>
    </row>
    <row r="744" spans="1:10" ht="22.5" customHeight="1">
      <c r="A744" s="65"/>
      <c r="B744" s="13"/>
      <c r="C744" s="20"/>
      <c r="D744" s="20"/>
      <c r="E744" s="69"/>
      <c r="F744" s="70"/>
      <c r="G744" s="70"/>
      <c r="H744" s="13"/>
      <c r="I744" s="14"/>
      <c r="J744" s="13" t="str">
        <f ca="1">IFERROR(__xludf.DUMMYFUNCTION("IF(I740="""", """", RANK(I740, FILTER(I:I, I:I&lt;&gt;""""), 1))
"),"")</f>
        <v/>
      </c>
    </row>
    <row r="745" spans="1:10" ht="22.5" customHeight="1">
      <c r="A745" s="68"/>
      <c r="B745" s="20"/>
      <c r="C745" s="13"/>
      <c r="D745" s="13"/>
      <c r="E745" s="66"/>
      <c r="F745" s="67"/>
      <c r="G745" s="67"/>
      <c r="H745" s="20"/>
      <c r="I745" s="27"/>
      <c r="J745" s="20" t="str">
        <f ca="1">IFERROR(__xludf.DUMMYFUNCTION("IF(I741="""", """", RANK(I741, FILTER(I:I, I:I&lt;&gt;""""), 1))
"),"")</f>
        <v/>
      </c>
    </row>
    <row r="746" spans="1:10" ht="22.5" customHeight="1">
      <c r="A746" s="65"/>
      <c r="B746" s="13"/>
      <c r="C746" s="20"/>
      <c r="D746" s="20"/>
      <c r="E746" s="69"/>
      <c r="F746" s="70"/>
      <c r="G746" s="70"/>
      <c r="H746" s="13"/>
      <c r="I746" s="14"/>
      <c r="J746" s="13" t="str">
        <f ca="1">IFERROR(__xludf.DUMMYFUNCTION("IF(I742="""", """", RANK(I742, FILTER(I:I, I:I&lt;&gt;""""), 1))
"),"")</f>
        <v/>
      </c>
    </row>
    <row r="747" spans="1:10" ht="22.5" customHeight="1">
      <c r="A747" s="68"/>
      <c r="B747" s="20"/>
      <c r="C747" s="13"/>
      <c r="D747" s="13"/>
      <c r="E747" s="66"/>
      <c r="F747" s="67"/>
      <c r="G747" s="67"/>
      <c r="H747" s="20"/>
      <c r="I747" s="27"/>
      <c r="J747" s="20" t="str">
        <f ca="1">IFERROR(__xludf.DUMMYFUNCTION("IF(I743="""", """", RANK(I743, FILTER(I:I, I:I&lt;&gt;""""), 1))
"),"")</f>
        <v/>
      </c>
    </row>
    <row r="748" spans="1:10" ht="22.5" customHeight="1">
      <c r="A748" s="65"/>
      <c r="B748" s="13"/>
      <c r="C748" s="20"/>
      <c r="D748" s="20"/>
      <c r="E748" s="69"/>
      <c r="F748" s="70"/>
      <c r="G748" s="70"/>
      <c r="H748" s="13"/>
      <c r="I748" s="14"/>
      <c r="J748" s="13" t="str">
        <f ca="1">IFERROR(__xludf.DUMMYFUNCTION("IF(I744="""", """", RANK(I744, FILTER(I:I, I:I&lt;&gt;""""), 1))
"),"")</f>
        <v/>
      </c>
    </row>
    <row r="749" spans="1:10" ht="22.5" customHeight="1">
      <c r="A749" s="68"/>
      <c r="B749" s="20"/>
      <c r="C749" s="13"/>
      <c r="D749" s="13"/>
      <c r="E749" s="66"/>
      <c r="F749" s="67"/>
      <c r="G749" s="67"/>
      <c r="H749" s="20"/>
      <c r="I749" s="27"/>
      <c r="J749" s="20" t="str">
        <f ca="1">IFERROR(__xludf.DUMMYFUNCTION("IF(I745="""", """", RANK(I745, FILTER(I:I, I:I&lt;&gt;""""), 1))
"),"")</f>
        <v/>
      </c>
    </row>
    <row r="750" spans="1:10" ht="22.5" customHeight="1">
      <c r="A750" s="65"/>
      <c r="B750" s="13"/>
      <c r="C750" s="20"/>
      <c r="D750" s="20"/>
      <c r="E750" s="69"/>
      <c r="F750" s="70"/>
      <c r="G750" s="70"/>
      <c r="H750" s="13"/>
      <c r="I750" s="14"/>
      <c r="J750" s="13" t="str">
        <f ca="1">IFERROR(__xludf.DUMMYFUNCTION("IF(I746="""", """", RANK(I746, FILTER(I:I, I:I&lt;&gt;""""), 1))
"),"")</f>
        <v/>
      </c>
    </row>
    <row r="751" spans="1:10" ht="22.5" customHeight="1">
      <c r="A751" s="68"/>
      <c r="B751" s="20"/>
      <c r="C751" s="13"/>
      <c r="D751" s="13"/>
      <c r="E751" s="66"/>
      <c r="F751" s="67"/>
      <c r="G751" s="67"/>
      <c r="H751" s="20"/>
      <c r="I751" s="27"/>
      <c r="J751" s="20" t="str">
        <f ca="1">IFERROR(__xludf.DUMMYFUNCTION("IF(I747="""", """", RANK(I747, FILTER(I:I, I:I&lt;&gt;""""), 1))
"),"")</f>
        <v/>
      </c>
    </row>
    <row r="752" spans="1:10" ht="22.5" customHeight="1">
      <c r="A752" s="65"/>
      <c r="B752" s="13"/>
      <c r="C752" s="20"/>
      <c r="D752" s="20"/>
      <c r="E752" s="69"/>
      <c r="F752" s="70"/>
      <c r="G752" s="70"/>
      <c r="H752" s="13"/>
      <c r="I752" s="14"/>
      <c r="J752" s="13" t="str">
        <f ca="1">IFERROR(__xludf.DUMMYFUNCTION("IF(I748="""", """", RANK(I748, FILTER(I:I, I:I&lt;&gt;""""), 1))
"),"")</f>
        <v/>
      </c>
    </row>
    <row r="753" spans="1:10" ht="22.5" customHeight="1">
      <c r="A753" s="68"/>
      <c r="B753" s="20"/>
      <c r="C753" s="13"/>
      <c r="D753" s="13"/>
      <c r="E753" s="66"/>
      <c r="F753" s="67"/>
      <c r="G753" s="67"/>
      <c r="H753" s="20"/>
      <c r="I753" s="27"/>
      <c r="J753" s="20" t="str">
        <f ca="1">IFERROR(__xludf.DUMMYFUNCTION("IF(I749="""", """", RANK(I749, FILTER(I:I, I:I&lt;&gt;""""), 1))
"),"")</f>
        <v/>
      </c>
    </row>
    <row r="754" spans="1:10" ht="22.5" customHeight="1">
      <c r="A754" s="65"/>
      <c r="B754" s="13"/>
      <c r="C754" s="20"/>
      <c r="D754" s="20"/>
      <c r="E754" s="69"/>
      <c r="F754" s="70"/>
      <c r="G754" s="70"/>
      <c r="H754" s="13"/>
      <c r="I754" s="14"/>
      <c r="J754" s="13" t="str">
        <f ca="1">IFERROR(__xludf.DUMMYFUNCTION("IF(I750="""", """", RANK(I750, FILTER(I:I, I:I&lt;&gt;""""), 1))
"),"")</f>
        <v/>
      </c>
    </row>
    <row r="755" spans="1:10" ht="22.5" customHeight="1">
      <c r="A755" s="68"/>
      <c r="B755" s="20"/>
      <c r="C755" s="13"/>
      <c r="D755" s="13"/>
      <c r="E755" s="66"/>
      <c r="F755" s="67"/>
      <c r="G755" s="67"/>
      <c r="H755" s="20"/>
      <c r="I755" s="27"/>
      <c r="J755" s="20" t="str">
        <f ca="1">IFERROR(__xludf.DUMMYFUNCTION("IF(I751="""", """", RANK(I751, FILTER(I:I, I:I&lt;&gt;""""), 1))
"),"")</f>
        <v/>
      </c>
    </row>
    <row r="756" spans="1:10" ht="22.5" customHeight="1">
      <c r="A756" s="65"/>
      <c r="B756" s="13"/>
      <c r="C756" s="20"/>
      <c r="D756" s="20"/>
      <c r="E756" s="69"/>
      <c r="F756" s="70"/>
      <c r="G756" s="70"/>
      <c r="H756" s="13"/>
      <c r="I756" s="14"/>
      <c r="J756" s="13" t="str">
        <f ca="1">IFERROR(__xludf.DUMMYFUNCTION("IF(I752="""", """", RANK(I752, FILTER(I:I, I:I&lt;&gt;""""), 1))
"),"")</f>
        <v/>
      </c>
    </row>
    <row r="757" spans="1:10" ht="22.5" customHeight="1">
      <c r="A757" s="68"/>
      <c r="B757" s="20"/>
      <c r="C757" s="13"/>
      <c r="D757" s="13"/>
      <c r="E757" s="66"/>
      <c r="F757" s="67"/>
      <c r="G757" s="67"/>
      <c r="H757" s="20"/>
      <c r="I757" s="27"/>
      <c r="J757" s="20" t="str">
        <f ca="1">IFERROR(__xludf.DUMMYFUNCTION("IF(I753="""", """", RANK(I753, FILTER(I:I, I:I&lt;&gt;""""), 1))
"),"")</f>
        <v/>
      </c>
    </row>
    <row r="758" spans="1:10" ht="22.5" customHeight="1">
      <c r="A758" s="65"/>
      <c r="B758" s="13"/>
      <c r="C758" s="20"/>
      <c r="D758" s="20"/>
      <c r="E758" s="69"/>
      <c r="F758" s="70"/>
      <c r="G758" s="70"/>
      <c r="H758" s="13"/>
      <c r="I758" s="14"/>
      <c r="J758" s="13" t="str">
        <f ca="1">IFERROR(__xludf.DUMMYFUNCTION("IF(I754="""", """", RANK(I754, FILTER(I:I, I:I&lt;&gt;""""), 1))
"),"")</f>
        <v/>
      </c>
    </row>
    <row r="759" spans="1:10" ht="22.5" customHeight="1">
      <c r="A759" s="68"/>
      <c r="B759" s="20"/>
      <c r="C759" s="13"/>
      <c r="D759" s="13"/>
      <c r="E759" s="66"/>
      <c r="F759" s="67"/>
      <c r="G759" s="67"/>
      <c r="H759" s="20"/>
      <c r="I759" s="27"/>
      <c r="J759" s="20" t="str">
        <f ca="1">IFERROR(__xludf.DUMMYFUNCTION("IF(I755="""", """", RANK(I755, FILTER(I:I, I:I&lt;&gt;""""), 1))
"),"")</f>
        <v/>
      </c>
    </row>
    <row r="760" spans="1:10" ht="22.5" customHeight="1">
      <c r="A760" s="65"/>
      <c r="B760" s="13"/>
      <c r="C760" s="20"/>
      <c r="D760" s="20"/>
      <c r="E760" s="69"/>
      <c r="F760" s="70"/>
      <c r="G760" s="70"/>
      <c r="H760" s="13"/>
      <c r="I760" s="14"/>
      <c r="J760" s="13" t="str">
        <f ca="1">IFERROR(__xludf.DUMMYFUNCTION("IF(I756="""", """", RANK(I756, FILTER(I:I, I:I&lt;&gt;""""), 1))
"),"")</f>
        <v/>
      </c>
    </row>
    <row r="761" spans="1:10" ht="22.5" customHeight="1">
      <c r="A761" s="68"/>
      <c r="B761" s="20"/>
      <c r="C761" s="13"/>
      <c r="D761" s="13"/>
      <c r="E761" s="66"/>
      <c r="F761" s="67"/>
      <c r="G761" s="67"/>
      <c r="H761" s="20"/>
      <c r="I761" s="27"/>
      <c r="J761" s="20" t="str">
        <f ca="1">IFERROR(__xludf.DUMMYFUNCTION("IF(I757="""", """", RANK(I757, FILTER(I:I, I:I&lt;&gt;""""), 1))
"),"")</f>
        <v/>
      </c>
    </row>
    <row r="762" spans="1:10" ht="22.5" customHeight="1">
      <c r="A762" s="65"/>
      <c r="B762" s="13"/>
      <c r="C762" s="20"/>
      <c r="D762" s="20"/>
      <c r="E762" s="69"/>
      <c r="F762" s="70"/>
      <c r="G762" s="70"/>
      <c r="H762" s="13"/>
      <c r="I762" s="14"/>
      <c r="J762" s="13" t="str">
        <f ca="1">IFERROR(__xludf.DUMMYFUNCTION("IF(I758="""", """", RANK(I758, FILTER(I:I, I:I&lt;&gt;""""), 1))
"),"")</f>
        <v/>
      </c>
    </row>
    <row r="763" spans="1:10" ht="22.5" customHeight="1">
      <c r="A763" s="68"/>
      <c r="B763" s="20"/>
      <c r="C763" s="13"/>
      <c r="D763" s="13"/>
      <c r="E763" s="66"/>
      <c r="F763" s="67"/>
      <c r="G763" s="67"/>
      <c r="H763" s="20"/>
      <c r="I763" s="27"/>
      <c r="J763" s="20" t="str">
        <f ca="1">IFERROR(__xludf.DUMMYFUNCTION("IF(I759="""", """", RANK(I759, FILTER(I:I, I:I&lt;&gt;""""), 1))
"),"")</f>
        <v/>
      </c>
    </row>
    <row r="764" spans="1:10" ht="22.5" customHeight="1">
      <c r="A764" s="65"/>
      <c r="B764" s="13"/>
      <c r="C764" s="20"/>
      <c r="D764" s="20"/>
      <c r="E764" s="69"/>
      <c r="F764" s="70"/>
      <c r="G764" s="70"/>
      <c r="H764" s="13"/>
      <c r="I764" s="14"/>
      <c r="J764" s="13" t="str">
        <f ca="1">IFERROR(__xludf.DUMMYFUNCTION("IF(I760="""", """", RANK(I760, FILTER(I:I, I:I&lt;&gt;""""), 1))
"),"")</f>
        <v/>
      </c>
    </row>
    <row r="765" spans="1:10" ht="22.5" customHeight="1">
      <c r="A765" s="68"/>
      <c r="B765" s="20"/>
      <c r="C765" s="13"/>
      <c r="D765" s="13"/>
      <c r="E765" s="66"/>
      <c r="F765" s="67"/>
      <c r="G765" s="67"/>
      <c r="H765" s="20"/>
      <c r="I765" s="27"/>
      <c r="J765" s="20" t="str">
        <f ca="1">IFERROR(__xludf.DUMMYFUNCTION("IF(I761="""", """", RANK(I761, FILTER(I:I, I:I&lt;&gt;""""), 1))
"),"")</f>
        <v/>
      </c>
    </row>
    <row r="766" spans="1:10" ht="22.5" customHeight="1">
      <c r="A766" s="65"/>
      <c r="B766" s="13"/>
      <c r="C766" s="20"/>
      <c r="D766" s="20"/>
      <c r="E766" s="69"/>
      <c r="F766" s="70"/>
      <c r="G766" s="70"/>
      <c r="H766" s="13"/>
      <c r="I766" s="14"/>
      <c r="J766" s="13" t="str">
        <f ca="1">IFERROR(__xludf.DUMMYFUNCTION("IF(I762="""", """", RANK(I762, FILTER(I:I, I:I&lt;&gt;""""), 1))
"),"")</f>
        <v/>
      </c>
    </row>
    <row r="767" spans="1:10" ht="22.5" customHeight="1">
      <c r="A767" s="68"/>
      <c r="B767" s="20"/>
      <c r="C767" s="13"/>
      <c r="D767" s="13"/>
      <c r="E767" s="66"/>
      <c r="F767" s="67"/>
      <c r="G767" s="67"/>
      <c r="H767" s="20"/>
      <c r="I767" s="27"/>
      <c r="J767" s="20" t="str">
        <f ca="1">IFERROR(__xludf.DUMMYFUNCTION("IF(I763="""", """", RANK(I763, FILTER(I:I, I:I&lt;&gt;""""), 1))
"),"")</f>
        <v/>
      </c>
    </row>
    <row r="768" spans="1:10" ht="22.5" customHeight="1">
      <c r="A768" s="65"/>
      <c r="B768" s="13"/>
      <c r="C768" s="20"/>
      <c r="D768" s="20"/>
      <c r="E768" s="69"/>
      <c r="F768" s="70"/>
      <c r="G768" s="70"/>
      <c r="H768" s="13"/>
      <c r="I768" s="14"/>
      <c r="J768" s="13" t="str">
        <f ca="1">IFERROR(__xludf.DUMMYFUNCTION("IF(I764="""", """", RANK(I764, FILTER(I:I, I:I&lt;&gt;""""), 1))
"),"")</f>
        <v/>
      </c>
    </row>
    <row r="769" spans="1:10" ht="22.5" customHeight="1">
      <c r="A769" s="68"/>
      <c r="B769" s="20"/>
      <c r="C769" s="13"/>
      <c r="D769" s="13"/>
      <c r="E769" s="66"/>
      <c r="F769" s="67"/>
      <c r="G769" s="67"/>
      <c r="H769" s="20"/>
      <c r="I769" s="27"/>
      <c r="J769" s="20" t="str">
        <f ca="1">IFERROR(__xludf.DUMMYFUNCTION("IF(I765="""", """", RANK(I765, FILTER(I:I, I:I&lt;&gt;""""), 1))
"),"")</f>
        <v/>
      </c>
    </row>
    <row r="770" spans="1:10" ht="22.5" customHeight="1">
      <c r="A770" s="65"/>
      <c r="B770" s="13"/>
      <c r="C770" s="20"/>
      <c r="D770" s="20"/>
      <c r="E770" s="69"/>
      <c r="F770" s="70"/>
      <c r="G770" s="70"/>
      <c r="H770" s="13"/>
      <c r="I770" s="14"/>
      <c r="J770" s="13" t="str">
        <f ca="1">IFERROR(__xludf.DUMMYFUNCTION("IF(I766="""", """", RANK(I766, FILTER(I:I, I:I&lt;&gt;""""), 1))
"),"")</f>
        <v/>
      </c>
    </row>
    <row r="771" spans="1:10" ht="22.5" customHeight="1">
      <c r="A771" s="68"/>
      <c r="B771" s="20"/>
      <c r="C771" s="13"/>
      <c r="D771" s="13"/>
      <c r="E771" s="66"/>
      <c r="F771" s="67"/>
      <c r="G771" s="67"/>
      <c r="H771" s="20"/>
      <c r="I771" s="27"/>
      <c r="J771" s="20" t="str">
        <f ca="1">IFERROR(__xludf.DUMMYFUNCTION("IF(I767="""", """", RANK(I767, FILTER(I:I, I:I&lt;&gt;""""), 1))
"),"")</f>
        <v/>
      </c>
    </row>
    <row r="772" spans="1:10" ht="22.5" customHeight="1">
      <c r="A772" s="65"/>
      <c r="B772" s="13"/>
      <c r="C772" s="20"/>
      <c r="D772" s="20"/>
      <c r="E772" s="69"/>
      <c r="F772" s="70"/>
      <c r="G772" s="70"/>
      <c r="H772" s="13"/>
      <c r="I772" s="14"/>
      <c r="J772" s="13" t="str">
        <f ca="1">IFERROR(__xludf.DUMMYFUNCTION("IF(I768="""", """", RANK(I768, FILTER(I:I, I:I&lt;&gt;""""), 1))
"),"")</f>
        <v/>
      </c>
    </row>
    <row r="773" spans="1:10" ht="22.5" customHeight="1">
      <c r="A773" s="68"/>
      <c r="B773" s="20"/>
      <c r="C773" s="13"/>
      <c r="D773" s="13"/>
      <c r="E773" s="66"/>
      <c r="F773" s="67"/>
      <c r="G773" s="67"/>
      <c r="H773" s="20"/>
      <c r="I773" s="27"/>
      <c r="J773" s="20" t="str">
        <f ca="1">IFERROR(__xludf.DUMMYFUNCTION("IF(I769="""", """", RANK(I769, FILTER(I:I, I:I&lt;&gt;""""), 1))
"),"")</f>
        <v/>
      </c>
    </row>
    <row r="774" spans="1:10" ht="22.5" customHeight="1">
      <c r="A774" s="65"/>
      <c r="B774" s="13"/>
      <c r="C774" s="20"/>
      <c r="D774" s="20"/>
      <c r="E774" s="69"/>
      <c r="F774" s="70"/>
      <c r="G774" s="70"/>
      <c r="H774" s="13"/>
      <c r="I774" s="14"/>
      <c r="J774" s="13" t="str">
        <f ca="1">IFERROR(__xludf.DUMMYFUNCTION("IF(I770="""", """", RANK(I770, FILTER(I:I, I:I&lt;&gt;""""), 1))
"),"")</f>
        <v/>
      </c>
    </row>
    <row r="775" spans="1:10" ht="22.5" customHeight="1">
      <c r="A775" s="68"/>
      <c r="B775" s="20"/>
      <c r="C775" s="13"/>
      <c r="D775" s="13"/>
      <c r="E775" s="66"/>
      <c r="F775" s="67"/>
      <c r="G775" s="67"/>
      <c r="H775" s="20"/>
      <c r="I775" s="27"/>
      <c r="J775" s="20" t="str">
        <f ca="1">IFERROR(__xludf.DUMMYFUNCTION("IF(I771="""", """", RANK(I771, FILTER(I:I, I:I&lt;&gt;""""), 1))
"),"")</f>
        <v/>
      </c>
    </row>
    <row r="776" spans="1:10" ht="22.5" customHeight="1">
      <c r="A776" s="65"/>
      <c r="B776" s="13"/>
      <c r="C776" s="20"/>
      <c r="D776" s="20"/>
      <c r="E776" s="69"/>
      <c r="F776" s="70"/>
      <c r="G776" s="70"/>
      <c r="H776" s="13"/>
      <c r="I776" s="14"/>
      <c r="J776" s="13" t="str">
        <f ca="1">IFERROR(__xludf.DUMMYFUNCTION("IF(I772="""", """", RANK(I772, FILTER(I:I, I:I&lt;&gt;""""), 1))
"),"")</f>
        <v/>
      </c>
    </row>
    <row r="777" spans="1:10" ht="22.5" customHeight="1">
      <c r="A777" s="68"/>
      <c r="B777" s="20"/>
      <c r="C777" s="13"/>
      <c r="D777" s="13"/>
      <c r="E777" s="66"/>
      <c r="F777" s="67"/>
      <c r="G777" s="67"/>
      <c r="H777" s="20"/>
      <c r="I777" s="27"/>
      <c r="J777" s="20" t="str">
        <f ca="1">IFERROR(__xludf.DUMMYFUNCTION("IF(I773="""", """", RANK(I773, FILTER(I:I, I:I&lt;&gt;""""), 1))
"),"")</f>
        <v/>
      </c>
    </row>
    <row r="778" spans="1:10" ht="22.5" customHeight="1">
      <c r="A778" s="65"/>
      <c r="B778" s="13"/>
      <c r="C778" s="20"/>
      <c r="D778" s="20"/>
      <c r="E778" s="69"/>
      <c r="F778" s="70"/>
      <c r="G778" s="70"/>
      <c r="H778" s="13"/>
      <c r="I778" s="14"/>
      <c r="J778" s="13" t="str">
        <f ca="1">IFERROR(__xludf.DUMMYFUNCTION("IF(I774="""", """", RANK(I774, FILTER(I:I, I:I&lt;&gt;""""), 1))
"),"")</f>
        <v/>
      </c>
    </row>
    <row r="779" spans="1:10" ht="22.5" customHeight="1">
      <c r="A779" s="68"/>
      <c r="B779" s="20"/>
      <c r="C779" s="13"/>
      <c r="D779" s="13"/>
      <c r="E779" s="66"/>
      <c r="F779" s="67"/>
      <c r="G779" s="67"/>
      <c r="H779" s="20"/>
      <c r="I779" s="27"/>
      <c r="J779" s="20" t="str">
        <f ca="1">IFERROR(__xludf.DUMMYFUNCTION("IF(I775="""", """", RANK(I775, FILTER(I:I, I:I&lt;&gt;""""), 1))
"),"")</f>
        <v/>
      </c>
    </row>
    <row r="780" spans="1:10" ht="22.5" customHeight="1">
      <c r="A780" s="65"/>
      <c r="B780" s="13"/>
      <c r="C780" s="20"/>
      <c r="D780" s="20"/>
      <c r="E780" s="69"/>
      <c r="F780" s="70"/>
      <c r="G780" s="70"/>
      <c r="H780" s="13"/>
      <c r="I780" s="14"/>
      <c r="J780" s="13" t="str">
        <f ca="1">IFERROR(__xludf.DUMMYFUNCTION("IF(I776="""", """", RANK(I776, FILTER(I:I, I:I&lt;&gt;""""), 1))
"),"")</f>
        <v/>
      </c>
    </row>
    <row r="781" spans="1:10" ht="22.5" customHeight="1">
      <c r="A781" s="68"/>
      <c r="B781" s="20"/>
      <c r="C781" s="13"/>
      <c r="D781" s="13"/>
      <c r="E781" s="66"/>
      <c r="F781" s="67"/>
      <c r="G781" s="67"/>
      <c r="H781" s="20"/>
      <c r="I781" s="27"/>
      <c r="J781" s="20" t="str">
        <f ca="1">IFERROR(__xludf.DUMMYFUNCTION("IF(I777="""", """", RANK(I777, FILTER(I:I, I:I&lt;&gt;""""), 1))
"),"")</f>
        <v/>
      </c>
    </row>
    <row r="782" spans="1:10" ht="22.5" customHeight="1">
      <c r="A782" s="65"/>
      <c r="B782" s="13"/>
      <c r="C782" s="20"/>
      <c r="D782" s="20"/>
      <c r="E782" s="69"/>
      <c r="F782" s="70"/>
      <c r="G782" s="70"/>
      <c r="H782" s="13"/>
      <c r="I782" s="14"/>
      <c r="J782" s="13" t="str">
        <f ca="1">IFERROR(__xludf.DUMMYFUNCTION("IF(I778="""", """", RANK(I778, FILTER(I:I, I:I&lt;&gt;""""), 1))
"),"")</f>
        <v/>
      </c>
    </row>
    <row r="783" spans="1:10" ht="22.5" customHeight="1">
      <c r="A783" s="68"/>
      <c r="B783" s="20"/>
      <c r="C783" s="13"/>
      <c r="D783" s="13"/>
      <c r="E783" s="66"/>
      <c r="F783" s="67"/>
      <c r="G783" s="67"/>
      <c r="H783" s="20"/>
      <c r="I783" s="27"/>
      <c r="J783" s="20" t="str">
        <f ca="1">IFERROR(__xludf.DUMMYFUNCTION("IF(I779="""", """", RANK(I779, FILTER(I:I, I:I&lt;&gt;""""), 1))
"),"")</f>
        <v/>
      </c>
    </row>
    <row r="784" spans="1:10" ht="22.5" customHeight="1">
      <c r="A784" s="65"/>
      <c r="B784" s="13"/>
      <c r="C784" s="20"/>
      <c r="D784" s="20"/>
      <c r="E784" s="69"/>
      <c r="F784" s="70"/>
      <c r="G784" s="70"/>
      <c r="H784" s="13"/>
      <c r="I784" s="14"/>
      <c r="J784" s="13" t="str">
        <f ca="1">IFERROR(__xludf.DUMMYFUNCTION("IF(I780="""", """", RANK(I780, FILTER(I:I, I:I&lt;&gt;""""), 1))
"),"")</f>
        <v/>
      </c>
    </row>
    <row r="785" spans="1:10" ht="22.5" customHeight="1">
      <c r="A785" s="68"/>
      <c r="B785" s="20"/>
      <c r="C785" s="13"/>
      <c r="D785" s="13"/>
      <c r="E785" s="66"/>
      <c r="F785" s="67"/>
      <c r="G785" s="67"/>
      <c r="H785" s="20"/>
      <c r="I785" s="27"/>
      <c r="J785" s="20" t="str">
        <f ca="1">IFERROR(__xludf.DUMMYFUNCTION("IF(I781="""", """", RANK(I781, FILTER(I:I, I:I&lt;&gt;""""), 1))
"),"")</f>
        <v/>
      </c>
    </row>
    <row r="786" spans="1:10" ht="22.5" customHeight="1">
      <c r="A786" s="65"/>
      <c r="B786" s="13"/>
      <c r="C786" s="20"/>
      <c r="D786" s="20"/>
      <c r="E786" s="69"/>
      <c r="F786" s="70"/>
      <c r="G786" s="70"/>
      <c r="H786" s="13"/>
      <c r="I786" s="14"/>
      <c r="J786" s="13" t="str">
        <f ca="1">IFERROR(__xludf.DUMMYFUNCTION("IF(I782="""", """", RANK(I782, FILTER(I:I, I:I&lt;&gt;""""), 1))
"),"")</f>
        <v/>
      </c>
    </row>
    <row r="787" spans="1:10" ht="22.5" customHeight="1">
      <c r="A787" s="68"/>
      <c r="B787" s="20"/>
      <c r="C787" s="13"/>
      <c r="D787" s="13"/>
      <c r="E787" s="66"/>
      <c r="F787" s="67"/>
      <c r="G787" s="67"/>
      <c r="H787" s="20"/>
      <c r="I787" s="27"/>
      <c r="J787" s="20" t="str">
        <f ca="1">IFERROR(__xludf.DUMMYFUNCTION("IF(I783="""", """", RANK(I783, FILTER(I:I, I:I&lt;&gt;""""), 1))
"),"")</f>
        <v/>
      </c>
    </row>
    <row r="788" spans="1:10" ht="22.5" customHeight="1">
      <c r="A788" s="65"/>
      <c r="B788" s="13"/>
      <c r="C788" s="20"/>
      <c r="D788" s="20"/>
      <c r="E788" s="69"/>
      <c r="F788" s="70"/>
      <c r="G788" s="70"/>
      <c r="H788" s="13"/>
      <c r="I788" s="14"/>
      <c r="J788" s="13" t="str">
        <f ca="1">IFERROR(__xludf.DUMMYFUNCTION("IF(I784="""", """", RANK(I784, FILTER(I:I, I:I&lt;&gt;""""), 1))
"),"")</f>
        <v/>
      </c>
    </row>
    <row r="789" spans="1:10" ht="22.5" customHeight="1">
      <c r="A789" s="68"/>
      <c r="B789" s="20"/>
      <c r="C789" s="13"/>
      <c r="D789" s="13"/>
      <c r="E789" s="66"/>
      <c r="F789" s="67"/>
      <c r="G789" s="67"/>
      <c r="H789" s="20"/>
      <c r="I789" s="27"/>
      <c r="J789" s="20" t="str">
        <f ca="1">IFERROR(__xludf.DUMMYFUNCTION("IF(I785="""", """", RANK(I785, FILTER(I:I, I:I&lt;&gt;""""), 1))
"),"")</f>
        <v/>
      </c>
    </row>
    <row r="790" spans="1:10" ht="22.5" customHeight="1">
      <c r="A790" s="65"/>
      <c r="B790" s="13"/>
      <c r="C790" s="20"/>
      <c r="D790" s="20"/>
      <c r="E790" s="69"/>
      <c r="F790" s="70"/>
      <c r="G790" s="70"/>
      <c r="H790" s="13"/>
      <c r="I790" s="14"/>
      <c r="J790" s="13" t="str">
        <f ca="1">IFERROR(__xludf.DUMMYFUNCTION("IF(I786="""", """", RANK(I786, FILTER(I:I, I:I&lt;&gt;""""), 1))
"),"")</f>
        <v/>
      </c>
    </row>
    <row r="791" spans="1:10" ht="22.5" customHeight="1">
      <c r="A791" s="68"/>
      <c r="B791" s="20"/>
      <c r="C791" s="13"/>
      <c r="D791" s="13"/>
      <c r="E791" s="66"/>
      <c r="F791" s="67"/>
      <c r="G791" s="67"/>
      <c r="H791" s="20"/>
      <c r="I791" s="27"/>
      <c r="J791" s="20" t="str">
        <f ca="1">IFERROR(__xludf.DUMMYFUNCTION("IF(I787="""", """", RANK(I787, FILTER(I:I, I:I&lt;&gt;""""), 1))
"),"")</f>
        <v/>
      </c>
    </row>
    <row r="792" spans="1:10" ht="22.5" customHeight="1">
      <c r="A792" s="65"/>
      <c r="B792" s="13"/>
      <c r="C792" s="20"/>
      <c r="D792" s="20"/>
      <c r="E792" s="69"/>
      <c r="F792" s="70"/>
      <c r="G792" s="70"/>
      <c r="H792" s="13"/>
      <c r="I792" s="14"/>
      <c r="J792" s="13" t="str">
        <f ca="1">IFERROR(__xludf.DUMMYFUNCTION("IF(I788="""", """", RANK(I788, FILTER(I:I, I:I&lt;&gt;""""), 1))
"),"")</f>
        <v/>
      </c>
    </row>
    <row r="793" spans="1:10" ht="22.5" customHeight="1">
      <c r="A793" s="68"/>
      <c r="B793" s="20"/>
      <c r="C793" s="13"/>
      <c r="D793" s="13"/>
      <c r="E793" s="66"/>
      <c r="F793" s="67"/>
      <c r="G793" s="67"/>
      <c r="H793" s="20"/>
      <c r="I793" s="27"/>
      <c r="J793" s="20" t="str">
        <f ca="1">IFERROR(__xludf.DUMMYFUNCTION("IF(I789="""", """", RANK(I789, FILTER(I:I, I:I&lt;&gt;""""), 1))
"),"")</f>
        <v/>
      </c>
    </row>
    <row r="794" spans="1:10" ht="22.5" customHeight="1">
      <c r="A794" s="65"/>
      <c r="B794" s="13"/>
      <c r="C794" s="20"/>
      <c r="D794" s="20"/>
      <c r="E794" s="69"/>
      <c r="F794" s="70"/>
      <c r="G794" s="70"/>
      <c r="H794" s="13"/>
      <c r="I794" s="14"/>
      <c r="J794" s="13" t="str">
        <f ca="1">IFERROR(__xludf.DUMMYFUNCTION("IF(I790="""", """", RANK(I790, FILTER(I:I, I:I&lt;&gt;""""), 1))
"),"")</f>
        <v/>
      </c>
    </row>
    <row r="795" spans="1:10" ht="22.5" customHeight="1">
      <c r="A795" s="68"/>
      <c r="B795" s="20"/>
      <c r="C795" s="13"/>
      <c r="D795" s="13"/>
      <c r="E795" s="66"/>
      <c r="F795" s="67"/>
      <c r="G795" s="67"/>
      <c r="H795" s="20"/>
      <c r="I795" s="27"/>
      <c r="J795" s="20" t="str">
        <f ca="1">IFERROR(__xludf.DUMMYFUNCTION("IF(I791="""", """", RANK(I791, FILTER(I:I, I:I&lt;&gt;""""), 1))
"),"")</f>
        <v/>
      </c>
    </row>
    <row r="796" spans="1:10" ht="22.5" customHeight="1">
      <c r="A796" s="65"/>
      <c r="B796" s="13"/>
      <c r="C796" s="20"/>
      <c r="D796" s="20"/>
      <c r="E796" s="69"/>
      <c r="F796" s="70"/>
      <c r="G796" s="70"/>
      <c r="H796" s="13"/>
      <c r="I796" s="14"/>
      <c r="J796" s="13" t="str">
        <f ca="1">IFERROR(__xludf.DUMMYFUNCTION("IF(I792="""", """", RANK(I792, FILTER(I:I, I:I&lt;&gt;""""), 1))
"),"")</f>
        <v/>
      </c>
    </row>
    <row r="797" spans="1:10" ht="22.5" customHeight="1">
      <c r="A797" s="68"/>
      <c r="B797" s="20"/>
      <c r="C797" s="13"/>
      <c r="D797" s="13"/>
      <c r="E797" s="66"/>
      <c r="F797" s="67"/>
      <c r="G797" s="67"/>
      <c r="H797" s="20"/>
      <c r="I797" s="27"/>
      <c r="J797" s="20" t="str">
        <f ca="1">IFERROR(__xludf.DUMMYFUNCTION("IF(I793="""", """", RANK(I793, FILTER(I:I, I:I&lt;&gt;""""), 1))
"),"")</f>
        <v/>
      </c>
    </row>
    <row r="798" spans="1:10" ht="22.5" customHeight="1">
      <c r="A798" s="65"/>
      <c r="B798" s="13"/>
      <c r="C798" s="20"/>
      <c r="D798" s="20"/>
      <c r="E798" s="69"/>
      <c r="F798" s="70"/>
      <c r="G798" s="70"/>
      <c r="H798" s="13"/>
      <c r="I798" s="14"/>
      <c r="J798" s="13" t="str">
        <f ca="1">IFERROR(__xludf.DUMMYFUNCTION("IF(I794="""", """", RANK(I794, FILTER(I:I, I:I&lt;&gt;""""), 1))
"),"")</f>
        <v/>
      </c>
    </row>
    <row r="799" spans="1:10" ht="22.5" customHeight="1">
      <c r="A799" s="68"/>
      <c r="B799" s="20"/>
      <c r="C799" s="13"/>
      <c r="D799" s="13"/>
      <c r="E799" s="66"/>
      <c r="F799" s="67"/>
      <c r="G799" s="67"/>
      <c r="H799" s="20"/>
      <c r="I799" s="27"/>
      <c r="J799" s="20" t="str">
        <f ca="1">IFERROR(__xludf.DUMMYFUNCTION("IF(I795="""", """", RANK(I795, FILTER(I:I, I:I&lt;&gt;""""), 1))
"),"")</f>
        <v/>
      </c>
    </row>
    <row r="800" spans="1:10" ht="22.5" customHeight="1">
      <c r="A800" s="65"/>
      <c r="B800" s="13"/>
      <c r="C800" s="20"/>
      <c r="D800" s="20"/>
      <c r="E800" s="69"/>
      <c r="F800" s="70"/>
      <c r="G800" s="70"/>
      <c r="H800" s="13"/>
      <c r="I800" s="14"/>
      <c r="J800" s="13" t="str">
        <f ca="1">IFERROR(__xludf.DUMMYFUNCTION("IF(I796="""", """", RANK(I796, FILTER(I:I, I:I&lt;&gt;""""), 1))
"),"")</f>
        <v/>
      </c>
    </row>
    <row r="801" spans="1:10" ht="22.5" customHeight="1">
      <c r="A801" s="68"/>
      <c r="B801" s="20"/>
      <c r="C801" s="13"/>
      <c r="D801" s="13"/>
      <c r="E801" s="66"/>
      <c r="F801" s="67"/>
      <c r="G801" s="67"/>
      <c r="H801" s="20"/>
      <c r="I801" s="27"/>
      <c r="J801" s="20" t="str">
        <f ca="1">IFERROR(__xludf.DUMMYFUNCTION("IF(I797="""", """", RANK(I797, FILTER(I:I, I:I&lt;&gt;""""), 1))
"),"")</f>
        <v/>
      </c>
    </row>
    <row r="802" spans="1:10" ht="22.5" customHeight="1">
      <c r="A802" s="65"/>
      <c r="B802" s="13"/>
      <c r="C802" s="20"/>
      <c r="D802" s="20"/>
      <c r="E802" s="69"/>
      <c r="F802" s="70"/>
      <c r="G802" s="70"/>
      <c r="H802" s="13"/>
      <c r="I802" s="14"/>
      <c r="J802" s="13" t="str">
        <f ca="1">IFERROR(__xludf.DUMMYFUNCTION("IF(I798="""", """", RANK(I798, FILTER(I:I, I:I&lt;&gt;""""), 1))
"),"")</f>
        <v/>
      </c>
    </row>
    <row r="803" spans="1:10" ht="22.5" customHeight="1">
      <c r="A803" s="68"/>
      <c r="B803" s="20"/>
      <c r="C803" s="13"/>
      <c r="D803" s="13"/>
      <c r="E803" s="66"/>
      <c r="F803" s="67"/>
      <c r="G803" s="67"/>
      <c r="H803" s="20"/>
      <c r="I803" s="27"/>
      <c r="J803" s="20" t="str">
        <f ca="1">IFERROR(__xludf.DUMMYFUNCTION("IF(I799="""", """", RANK(I799, FILTER(I:I, I:I&lt;&gt;""""), 1))
"),"")</f>
        <v/>
      </c>
    </row>
    <row r="804" spans="1:10" ht="22.5" customHeight="1">
      <c r="A804" s="65"/>
      <c r="B804" s="13"/>
      <c r="C804" s="20"/>
      <c r="D804" s="20"/>
      <c r="E804" s="69"/>
      <c r="F804" s="70"/>
      <c r="G804" s="70"/>
      <c r="H804" s="13"/>
      <c r="I804" s="14"/>
      <c r="J804" s="13" t="str">
        <f ca="1">IFERROR(__xludf.DUMMYFUNCTION("IF(I800="""", """", RANK(I800, FILTER(I:I, I:I&lt;&gt;""""), 1))
"),"")</f>
        <v/>
      </c>
    </row>
    <row r="805" spans="1:10" ht="22.5" customHeight="1">
      <c r="A805" s="68"/>
      <c r="B805" s="20"/>
      <c r="C805" s="13"/>
      <c r="D805" s="13"/>
      <c r="E805" s="66"/>
      <c r="F805" s="67"/>
      <c r="G805" s="67"/>
      <c r="H805" s="20"/>
      <c r="I805" s="27"/>
      <c r="J805" s="20" t="str">
        <f ca="1">IFERROR(__xludf.DUMMYFUNCTION("IF(I801="""", """", RANK(I801, FILTER(I:I, I:I&lt;&gt;""""), 1))
"),"")</f>
        <v/>
      </c>
    </row>
    <row r="806" spans="1:10" ht="22.5" customHeight="1">
      <c r="A806" s="65"/>
      <c r="B806" s="13"/>
      <c r="C806" s="20"/>
      <c r="D806" s="20"/>
      <c r="E806" s="69"/>
      <c r="F806" s="70"/>
      <c r="G806" s="70"/>
      <c r="H806" s="13"/>
      <c r="I806" s="14"/>
      <c r="J806" s="13" t="str">
        <f ca="1">IFERROR(__xludf.DUMMYFUNCTION("IF(I802="""", """", RANK(I802, FILTER(I:I, I:I&lt;&gt;""""), 1))
"),"")</f>
        <v/>
      </c>
    </row>
    <row r="807" spans="1:10" ht="22.5" customHeight="1">
      <c r="A807" s="68"/>
      <c r="B807" s="20"/>
      <c r="C807" s="13"/>
      <c r="D807" s="13"/>
      <c r="E807" s="66"/>
      <c r="F807" s="67"/>
      <c r="G807" s="67"/>
      <c r="H807" s="20"/>
      <c r="I807" s="27"/>
      <c r="J807" s="20" t="str">
        <f ca="1">IFERROR(__xludf.DUMMYFUNCTION("IF(I803="""", """", RANK(I803, FILTER(I:I, I:I&lt;&gt;""""), 1))
"),"")</f>
        <v/>
      </c>
    </row>
    <row r="808" spans="1:10" ht="22.5" customHeight="1">
      <c r="A808" s="65"/>
      <c r="B808" s="13"/>
      <c r="C808" s="20"/>
      <c r="D808" s="20"/>
      <c r="E808" s="69"/>
      <c r="F808" s="70"/>
      <c r="G808" s="70"/>
      <c r="H808" s="13"/>
      <c r="I808" s="14"/>
      <c r="J808" s="13" t="str">
        <f ca="1">IFERROR(__xludf.DUMMYFUNCTION("IF(I804="""", """", RANK(I804, FILTER(I:I, I:I&lt;&gt;""""), 1))
"),"")</f>
        <v/>
      </c>
    </row>
    <row r="809" spans="1:10" ht="22.5" customHeight="1">
      <c r="A809" s="68"/>
      <c r="B809" s="20"/>
      <c r="C809" s="13"/>
      <c r="D809" s="13"/>
      <c r="E809" s="66"/>
      <c r="F809" s="67"/>
      <c r="G809" s="67"/>
      <c r="H809" s="20"/>
      <c r="I809" s="27"/>
      <c r="J809" s="20" t="str">
        <f ca="1">IFERROR(__xludf.DUMMYFUNCTION("IF(I805="""", """", RANK(I805, FILTER(I:I, I:I&lt;&gt;""""), 1))
"),"")</f>
        <v/>
      </c>
    </row>
    <row r="810" spans="1:10" ht="22.5" customHeight="1">
      <c r="A810" s="65"/>
      <c r="B810" s="13"/>
      <c r="C810" s="20"/>
      <c r="D810" s="20"/>
      <c r="E810" s="69"/>
      <c r="F810" s="70"/>
      <c r="G810" s="70"/>
      <c r="H810" s="13"/>
      <c r="I810" s="14"/>
      <c r="J810" s="13" t="str">
        <f ca="1">IFERROR(__xludf.DUMMYFUNCTION("IF(I806="""", """", RANK(I806, FILTER(I:I, I:I&lt;&gt;""""), 1))
"),"")</f>
        <v/>
      </c>
    </row>
    <row r="811" spans="1:10" ht="22.5" customHeight="1">
      <c r="A811" s="68"/>
      <c r="B811" s="20"/>
      <c r="C811" s="13"/>
      <c r="D811" s="13"/>
      <c r="E811" s="66"/>
      <c r="F811" s="67"/>
      <c r="G811" s="67"/>
      <c r="H811" s="20"/>
      <c r="I811" s="27"/>
      <c r="J811" s="20" t="str">
        <f ca="1">IFERROR(__xludf.DUMMYFUNCTION("IF(I807="""", """", RANK(I807, FILTER(I:I, I:I&lt;&gt;""""), 1))
"),"")</f>
        <v/>
      </c>
    </row>
    <row r="812" spans="1:10" ht="22.5" customHeight="1">
      <c r="A812" s="65"/>
      <c r="B812" s="13"/>
      <c r="C812" s="20"/>
      <c r="D812" s="20"/>
      <c r="E812" s="69"/>
      <c r="F812" s="70"/>
      <c r="G812" s="70"/>
      <c r="H812" s="13"/>
      <c r="I812" s="14"/>
      <c r="J812" s="13" t="str">
        <f ca="1">IFERROR(__xludf.DUMMYFUNCTION("IF(I808="""", """", RANK(I808, FILTER(I:I, I:I&lt;&gt;""""), 1))
"),"")</f>
        <v/>
      </c>
    </row>
    <row r="813" spans="1:10" ht="22.5" customHeight="1">
      <c r="A813" s="68"/>
      <c r="B813" s="20"/>
      <c r="C813" s="13"/>
      <c r="D813" s="13"/>
      <c r="E813" s="66"/>
      <c r="F813" s="67"/>
      <c r="G813" s="67"/>
      <c r="H813" s="20"/>
      <c r="I813" s="27"/>
      <c r="J813" s="20" t="str">
        <f ca="1">IFERROR(__xludf.DUMMYFUNCTION("IF(I809="""", """", RANK(I809, FILTER(I:I, I:I&lt;&gt;""""), 1))
"),"")</f>
        <v/>
      </c>
    </row>
    <row r="814" spans="1:10" ht="22.5" customHeight="1">
      <c r="A814" s="65"/>
      <c r="B814" s="13"/>
      <c r="C814" s="20"/>
      <c r="D814" s="20"/>
      <c r="E814" s="69"/>
      <c r="F814" s="70"/>
      <c r="G814" s="70"/>
      <c r="H814" s="13"/>
      <c r="I814" s="14"/>
      <c r="J814" s="13" t="str">
        <f ca="1">IFERROR(__xludf.DUMMYFUNCTION("IF(I810="""", """", RANK(I810, FILTER(I:I, I:I&lt;&gt;""""), 1))
"),"")</f>
        <v/>
      </c>
    </row>
    <row r="815" spans="1:10" ht="22.5" customHeight="1">
      <c r="A815" s="68"/>
      <c r="B815" s="20"/>
      <c r="C815" s="13"/>
      <c r="D815" s="13"/>
      <c r="E815" s="66"/>
      <c r="F815" s="67"/>
      <c r="G815" s="67"/>
      <c r="H815" s="20"/>
      <c r="I815" s="27"/>
      <c r="J815" s="20" t="str">
        <f ca="1">IFERROR(__xludf.DUMMYFUNCTION("IF(I811="""", """", RANK(I811, FILTER(I:I, I:I&lt;&gt;""""), 1))
"),"")</f>
        <v/>
      </c>
    </row>
    <row r="816" spans="1:10" ht="22.5" customHeight="1">
      <c r="A816" s="65"/>
      <c r="B816" s="13"/>
      <c r="C816" s="20"/>
      <c r="D816" s="20"/>
      <c r="E816" s="69"/>
      <c r="F816" s="70"/>
      <c r="G816" s="70"/>
      <c r="H816" s="13"/>
      <c r="I816" s="14"/>
      <c r="J816" s="13" t="str">
        <f ca="1">IFERROR(__xludf.DUMMYFUNCTION("IF(I812="""", """", RANK(I812, FILTER(I:I, I:I&lt;&gt;""""), 1))
"),"")</f>
        <v/>
      </c>
    </row>
    <row r="817" spans="1:10" ht="22.5" customHeight="1">
      <c r="A817" s="68"/>
      <c r="B817" s="20"/>
      <c r="C817" s="13"/>
      <c r="D817" s="13"/>
      <c r="E817" s="66"/>
      <c r="F817" s="67"/>
      <c r="G817" s="67"/>
      <c r="H817" s="20"/>
      <c r="I817" s="27"/>
      <c r="J817" s="20" t="str">
        <f ca="1">IFERROR(__xludf.DUMMYFUNCTION("IF(I813="""", """", RANK(I813, FILTER(I:I, I:I&lt;&gt;""""), 1))
"),"")</f>
        <v/>
      </c>
    </row>
    <row r="818" spans="1:10" ht="22.5" customHeight="1">
      <c r="A818" s="65"/>
      <c r="B818" s="13"/>
      <c r="C818" s="20"/>
      <c r="D818" s="20"/>
      <c r="E818" s="69"/>
      <c r="F818" s="70"/>
      <c r="G818" s="70"/>
      <c r="H818" s="13"/>
      <c r="I818" s="14"/>
      <c r="J818" s="13" t="str">
        <f ca="1">IFERROR(__xludf.DUMMYFUNCTION("IF(I814="""", """", RANK(I814, FILTER(I:I, I:I&lt;&gt;""""), 1))
"),"")</f>
        <v/>
      </c>
    </row>
    <row r="819" spans="1:10" ht="22.5" customHeight="1">
      <c r="A819" s="68"/>
      <c r="B819" s="20"/>
      <c r="C819" s="13"/>
      <c r="D819" s="13"/>
      <c r="E819" s="66"/>
      <c r="F819" s="67"/>
      <c r="G819" s="67"/>
      <c r="H819" s="20"/>
      <c r="I819" s="27"/>
      <c r="J819" s="20" t="str">
        <f ca="1">IFERROR(__xludf.DUMMYFUNCTION("IF(I815="""", """", RANK(I815, FILTER(I:I, I:I&lt;&gt;""""), 1))
"),"")</f>
        <v/>
      </c>
    </row>
    <row r="820" spans="1:10" ht="22.5" customHeight="1">
      <c r="A820" s="65"/>
      <c r="B820" s="13"/>
      <c r="C820" s="20"/>
      <c r="D820" s="20"/>
      <c r="E820" s="69"/>
      <c r="F820" s="70"/>
      <c r="G820" s="70"/>
      <c r="H820" s="13"/>
      <c r="I820" s="14"/>
      <c r="J820" s="13" t="str">
        <f ca="1">IFERROR(__xludf.DUMMYFUNCTION("IF(I816="""", """", RANK(I816, FILTER(I:I, I:I&lt;&gt;""""), 1))
"),"")</f>
        <v/>
      </c>
    </row>
    <row r="821" spans="1:10" ht="22.5" customHeight="1">
      <c r="A821" s="68"/>
      <c r="B821" s="20"/>
      <c r="C821" s="13"/>
      <c r="D821" s="13"/>
      <c r="E821" s="66"/>
      <c r="F821" s="67"/>
      <c r="G821" s="67"/>
      <c r="H821" s="20"/>
      <c r="I821" s="27"/>
      <c r="J821" s="20" t="str">
        <f ca="1">IFERROR(__xludf.DUMMYFUNCTION("IF(I817="""", """", RANK(I817, FILTER(I:I, I:I&lt;&gt;""""), 1))
"),"")</f>
        <v/>
      </c>
    </row>
    <row r="822" spans="1:10" ht="22.5" customHeight="1">
      <c r="A822" s="65"/>
      <c r="B822" s="13"/>
      <c r="C822" s="20"/>
      <c r="D822" s="20"/>
      <c r="E822" s="69"/>
      <c r="F822" s="70"/>
      <c r="G822" s="70"/>
      <c r="H822" s="13"/>
      <c r="I822" s="14"/>
      <c r="J822" s="13" t="str">
        <f ca="1">IFERROR(__xludf.DUMMYFUNCTION("IF(I818="""", """", RANK(I818, FILTER(I:I, I:I&lt;&gt;""""), 1))
"),"")</f>
        <v/>
      </c>
    </row>
    <row r="823" spans="1:10" ht="22.5" customHeight="1">
      <c r="A823" s="68"/>
      <c r="B823" s="20"/>
      <c r="C823" s="13"/>
      <c r="D823" s="13"/>
      <c r="E823" s="66"/>
      <c r="F823" s="67"/>
      <c r="G823" s="67"/>
      <c r="H823" s="20"/>
      <c r="I823" s="27"/>
      <c r="J823" s="20" t="str">
        <f ca="1">IFERROR(__xludf.DUMMYFUNCTION("IF(I819="""", """", RANK(I819, FILTER(I:I, I:I&lt;&gt;""""), 1))
"),"")</f>
        <v/>
      </c>
    </row>
    <row r="824" spans="1:10" ht="22.5" customHeight="1">
      <c r="A824" s="65"/>
      <c r="B824" s="13"/>
      <c r="C824" s="20"/>
      <c r="D824" s="20"/>
      <c r="E824" s="69"/>
      <c r="F824" s="70"/>
      <c r="G824" s="70"/>
      <c r="H824" s="13"/>
      <c r="I824" s="14"/>
      <c r="J824" s="13" t="str">
        <f ca="1">IFERROR(__xludf.DUMMYFUNCTION("IF(I820="""", """", RANK(I820, FILTER(I:I, I:I&lt;&gt;""""), 1))
"),"")</f>
        <v/>
      </c>
    </row>
    <row r="825" spans="1:10" ht="22.5" customHeight="1">
      <c r="A825" s="68"/>
      <c r="B825" s="20"/>
      <c r="C825" s="13"/>
      <c r="D825" s="13"/>
      <c r="E825" s="66"/>
      <c r="F825" s="67"/>
      <c r="G825" s="67"/>
      <c r="H825" s="20"/>
      <c r="I825" s="27"/>
      <c r="J825" s="20" t="str">
        <f ca="1">IFERROR(__xludf.DUMMYFUNCTION("IF(I821="""", """", RANK(I821, FILTER(I:I, I:I&lt;&gt;""""), 1))
"),"")</f>
        <v/>
      </c>
    </row>
    <row r="826" spans="1:10" ht="22.5" customHeight="1">
      <c r="A826" s="65"/>
      <c r="B826" s="13"/>
      <c r="C826" s="20"/>
      <c r="D826" s="20"/>
      <c r="E826" s="69"/>
      <c r="F826" s="70"/>
      <c r="G826" s="70"/>
      <c r="H826" s="13"/>
      <c r="I826" s="14"/>
      <c r="J826" s="13" t="str">
        <f ca="1">IFERROR(__xludf.DUMMYFUNCTION("IF(I822="""", """", RANK(I822, FILTER(I:I, I:I&lt;&gt;""""), 1))
"),"")</f>
        <v/>
      </c>
    </row>
    <row r="827" spans="1:10" ht="22.5" customHeight="1">
      <c r="A827" s="68"/>
      <c r="B827" s="20"/>
      <c r="C827" s="13"/>
      <c r="D827" s="13"/>
      <c r="E827" s="66"/>
      <c r="F827" s="67"/>
      <c r="G827" s="67"/>
      <c r="H827" s="20"/>
      <c r="I827" s="27"/>
      <c r="J827" s="20" t="str">
        <f ca="1">IFERROR(__xludf.DUMMYFUNCTION("IF(I823="""", """", RANK(I823, FILTER(I:I, I:I&lt;&gt;""""), 1))
"),"")</f>
        <v/>
      </c>
    </row>
    <row r="828" spans="1:10" ht="22.5" customHeight="1">
      <c r="A828" s="65"/>
      <c r="B828" s="13"/>
      <c r="C828" s="20"/>
      <c r="D828" s="20"/>
      <c r="E828" s="69"/>
      <c r="F828" s="70"/>
      <c r="G828" s="70"/>
      <c r="H828" s="13"/>
      <c r="I828" s="14"/>
      <c r="J828" s="13" t="str">
        <f ca="1">IFERROR(__xludf.DUMMYFUNCTION("IF(I824="""", """", RANK(I824, FILTER(I:I, I:I&lt;&gt;""""), 1))
"),"")</f>
        <v/>
      </c>
    </row>
    <row r="829" spans="1:10" ht="22.5" customHeight="1">
      <c r="A829" s="68"/>
      <c r="B829" s="20"/>
      <c r="C829" s="13"/>
      <c r="D829" s="13"/>
      <c r="E829" s="66"/>
      <c r="F829" s="67"/>
      <c r="G829" s="67"/>
      <c r="H829" s="20"/>
      <c r="I829" s="27"/>
      <c r="J829" s="20" t="str">
        <f ca="1">IFERROR(__xludf.DUMMYFUNCTION("IF(I825="""", """", RANK(I825, FILTER(I:I, I:I&lt;&gt;""""), 1))
"),"")</f>
        <v/>
      </c>
    </row>
    <row r="830" spans="1:10" ht="22.5" customHeight="1">
      <c r="A830" s="65"/>
      <c r="B830" s="13"/>
      <c r="C830" s="20"/>
      <c r="D830" s="20"/>
      <c r="E830" s="69"/>
      <c r="F830" s="70"/>
      <c r="G830" s="70"/>
      <c r="H830" s="13"/>
      <c r="I830" s="14"/>
      <c r="J830" s="13" t="str">
        <f ca="1">IFERROR(__xludf.DUMMYFUNCTION("IF(I826="""", """", RANK(I826, FILTER(I:I, I:I&lt;&gt;""""), 1))
"),"")</f>
        <v/>
      </c>
    </row>
    <row r="831" spans="1:10" ht="22.5" customHeight="1">
      <c r="A831" s="68"/>
      <c r="B831" s="20"/>
      <c r="C831" s="13"/>
      <c r="D831" s="13"/>
      <c r="E831" s="66"/>
      <c r="F831" s="67"/>
      <c r="G831" s="67"/>
      <c r="H831" s="20"/>
      <c r="I831" s="27"/>
      <c r="J831" s="20" t="str">
        <f ca="1">IFERROR(__xludf.DUMMYFUNCTION("IF(I827="""", """", RANK(I827, FILTER(I:I, I:I&lt;&gt;""""), 1))
"),"")</f>
        <v/>
      </c>
    </row>
    <row r="832" spans="1:10" ht="22.5" customHeight="1">
      <c r="A832" s="65"/>
      <c r="B832" s="13"/>
      <c r="C832" s="20"/>
      <c r="D832" s="20"/>
      <c r="E832" s="69"/>
      <c r="F832" s="70"/>
      <c r="G832" s="70"/>
      <c r="H832" s="13"/>
      <c r="I832" s="14"/>
      <c r="J832" s="13" t="str">
        <f ca="1">IFERROR(__xludf.DUMMYFUNCTION("IF(I828="""", """", RANK(I828, FILTER(I:I, I:I&lt;&gt;""""), 1))
"),"")</f>
        <v/>
      </c>
    </row>
    <row r="833" spans="1:10" ht="22.5" customHeight="1">
      <c r="A833" s="68"/>
      <c r="B833" s="20"/>
      <c r="C833" s="13"/>
      <c r="D833" s="13"/>
      <c r="E833" s="66"/>
      <c r="F833" s="67"/>
      <c r="G833" s="67"/>
      <c r="H833" s="20"/>
      <c r="I833" s="27"/>
      <c r="J833" s="20" t="str">
        <f ca="1">IFERROR(__xludf.DUMMYFUNCTION("IF(I829="""", """", RANK(I829, FILTER(I:I, I:I&lt;&gt;""""), 1))
"),"")</f>
        <v/>
      </c>
    </row>
    <row r="834" spans="1:10" ht="22.5" customHeight="1">
      <c r="A834" s="65"/>
      <c r="B834" s="13"/>
      <c r="C834" s="20"/>
      <c r="D834" s="20"/>
      <c r="E834" s="69"/>
      <c r="F834" s="70"/>
      <c r="G834" s="70"/>
      <c r="H834" s="13"/>
      <c r="I834" s="14"/>
      <c r="J834" s="13" t="str">
        <f ca="1">IFERROR(__xludf.DUMMYFUNCTION("IF(I830="""", """", RANK(I830, FILTER(I:I, I:I&lt;&gt;""""), 1))
"),"")</f>
        <v/>
      </c>
    </row>
    <row r="835" spans="1:10" ht="22.5" customHeight="1">
      <c r="A835" s="68"/>
      <c r="B835" s="20"/>
      <c r="C835" s="13"/>
      <c r="D835" s="13"/>
      <c r="E835" s="66"/>
      <c r="F835" s="67"/>
      <c r="G835" s="67"/>
      <c r="H835" s="20"/>
      <c r="I835" s="27"/>
      <c r="J835" s="20" t="str">
        <f ca="1">IFERROR(__xludf.DUMMYFUNCTION("IF(I831="""", """", RANK(I831, FILTER(I:I, I:I&lt;&gt;""""), 1))
"),"")</f>
        <v/>
      </c>
    </row>
    <row r="836" spans="1:10" ht="22.5" customHeight="1">
      <c r="A836" s="65"/>
      <c r="B836" s="13"/>
      <c r="C836" s="20"/>
      <c r="D836" s="20"/>
      <c r="E836" s="69"/>
      <c r="F836" s="70"/>
      <c r="G836" s="70"/>
      <c r="H836" s="13"/>
      <c r="I836" s="14"/>
      <c r="J836" s="13" t="str">
        <f ca="1">IFERROR(__xludf.DUMMYFUNCTION("IF(I832="""", """", RANK(I832, FILTER(I:I, I:I&lt;&gt;""""), 1))
"),"")</f>
        <v/>
      </c>
    </row>
    <row r="837" spans="1:10" ht="22.5" customHeight="1">
      <c r="A837" s="68"/>
      <c r="B837" s="20"/>
      <c r="C837" s="13"/>
      <c r="D837" s="13"/>
      <c r="E837" s="66"/>
      <c r="F837" s="67"/>
      <c r="G837" s="67"/>
      <c r="H837" s="20"/>
      <c r="I837" s="27"/>
      <c r="J837" s="20" t="str">
        <f ca="1">IFERROR(__xludf.DUMMYFUNCTION("IF(I833="""", """", RANK(I833, FILTER(I:I, I:I&lt;&gt;""""), 1))
"),"")</f>
        <v/>
      </c>
    </row>
    <row r="838" spans="1:10" ht="22.5" customHeight="1">
      <c r="A838" s="65"/>
      <c r="B838" s="13"/>
      <c r="C838" s="20"/>
      <c r="D838" s="20"/>
      <c r="E838" s="69"/>
      <c r="F838" s="70"/>
      <c r="G838" s="70"/>
      <c r="H838" s="13"/>
      <c r="I838" s="14"/>
      <c r="J838" s="13" t="str">
        <f ca="1">IFERROR(__xludf.DUMMYFUNCTION("IF(I834="""", """", RANK(I834, FILTER(I:I, I:I&lt;&gt;""""), 1))
"),"")</f>
        <v/>
      </c>
    </row>
    <row r="839" spans="1:10" ht="22.5" customHeight="1">
      <c r="A839" s="68"/>
      <c r="B839" s="20"/>
      <c r="C839" s="13"/>
      <c r="D839" s="13"/>
      <c r="E839" s="66"/>
      <c r="F839" s="67"/>
      <c r="G839" s="67"/>
      <c r="H839" s="20"/>
      <c r="I839" s="27"/>
      <c r="J839" s="20" t="str">
        <f ca="1">IFERROR(__xludf.DUMMYFUNCTION("IF(I835="""", """", RANK(I835, FILTER(I:I, I:I&lt;&gt;""""), 1))
"),"")</f>
        <v/>
      </c>
    </row>
    <row r="840" spans="1:10" ht="22.5" customHeight="1">
      <c r="A840" s="65"/>
      <c r="B840" s="13"/>
      <c r="C840" s="20"/>
      <c r="D840" s="20"/>
      <c r="E840" s="69"/>
      <c r="F840" s="70"/>
      <c r="G840" s="70"/>
      <c r="H840" s="13"/>
      <c r="I840" s="14"/>
      <c r="J840" s="13" t="str">
        <f ca="1">IFERROR(__xludf.DUMMYFUNCTION("IF(I836="""", """", RANK(I836, FILTER(I:I, I:I&lt;&gt;""""), 1))
"),"")</f>
        <v/>
      </c>
    </row>
    <row r="841" spans="1:10" ht="22.5" customHeight="1">
      <c r="A841" s="68"/>
      <c r="B841" s="20"/>
      <c r="C841" s="13"/>
      <c r="D841" s="13"/>
      <c r="E841" s="66"/>
      <c r="F841" s="67"/>
      <c r="G841" s="67"/>
      <c r="H841" s="20"/>
      <c r="I841" s="27"/>
      <c r="J841" s="20" t="str">
        <f ca="1">IFERROR(__xludf.DUMMYFUNCTION("IF(I837="""", """", RANK(I837, FILTER(I:I, I:I&lt;&gt;""""), 1))
"),"")</f>
        <v/>
      </c>
    </row>
    <row r="842" spans="1:10" ht="22.5" customHeight="1">
      <c r="A842" s="65"/>
      <c r="B842" s="13"/>
      <c r="C842" s="20"/>
      <c r="D842" s="20"/>
      <c r="E842" s="69"/>
      <c r="F842" s="70"/>
      <c r="G842" s="70"/>
      <c r="H842" s="13"/>
      <c r="I842" s="14"/>
      <c r="J842" s="13" t="str">
        <f ca="1">IFERROR(__xludf.DUMMYFUNCTION("IF(I838="""", """", RANK(I838, FILTER(I:I, I:I&lt;&gt;""""), 1))
"),"")</f>
        <v/>
      </c>
    </row>
    <row r="843" spans="1:10" ht="22.5" customHeight="1">
      <c r="A843" s="68"/>
      <c r="B843" s="20"/>
      <c r="C843" s="13"/>
      <c r="D843" s="13"/>
      <c r="E843" s="66"/>
      <c r="F843" s="67"/>
      <c r="G843" s="67"/>
      <c r="H843" s="20"/>
      <c r="I843" s="27"/>
      <c r="J843" s="20" t="str">
        <f ca="1">IFERROR(__xludf.DUMMYFUNCTION("IF(I839="""", """", RANK(I839, FILTER(I:I, I:I&lt;&gt;""""), 1))
"),"")</f>
        <v/>
      </c>
    </row>
    <row r="844" spans="1:10" ht="22.5" customHeight="1">
      <c r="A844" s="65"/>
      <c r="B844" s="13"/>
      <c r="C844" s="20"/>
      <c r="D844" s="20"/>
      <c r="E844" s="69"/>
      <c r="F844" s="70"/>
      <c r="G844" s="70"/>
      <c r="H844" s="13"/>
      <c r="I844" s="14"/>
      <c r="J844" s="13" t="str">
        <f ca="1">IFERROR(__xludf.DUMMYFUNCTION("IF(I840="""", """", RANK(I840, FILTER(I:I, I:I&lt;&gt;""""), 1))
"),"")</f>
        <v/>
      </c>
    </row>
    <row r="845" spans="1:10" ht="22.5" customHeight="1">
      <c r="A845" s="68"/>
      <c r="B845" s="20"/>
      <c r="C845" s="13"/>
      <c r="D845" s="13"/>
      <c r="E845" s="66"/>
      <c r="F845" s="67"/>
      <c r="G845" s="67"/>
      <c r="H845" s="20"/>
      <c r="I845" s="27"/>
      <c r="J845" s="20" t="str">
        <f ca="1">IFERROR(__xludf.DUMMYFUNCTION("IF(I841="""", """", RANK(I841, FILTER(I:I, I:I&lt;&gt;""""), 1))
"),"")</f>
        <v/>
      </c>
    </row>
    <row r="846" spans="1:10" ht="22.5" customHeight="1">
      <c r="A846" s="65"/>
      <c r="B846" s="13"/>
      <c r="C846" s="20"/>
      <c r="D846" s="20"/>
      <c r="E846" s="69"/>
      <c r="F846" s="70"/>
      <c r="G846" s="70"/>
      <c r="H846" s="13"/>
      <c r="I846" s="14"/>
      <c r="J846" s="13" t="str">
        <f ca="1">IFERROR(__xludf.DUMMYFUNCTION("IF(I842="""", """", RANK(I842, FILTER(I:I, I:I&lt;&gt;""""), 1))
"),"")</f>
        <v/>
      </c>
    </row>
    <row r="847" spans="1:10" ht="22.5" customHeight="1">
      <c r="A847" s="68"/>
      <c r="B847" s="20"/>
      <c r="C847" s="13"/>
      <c r="D847" s="13"/>
      <c r="E847" s="66"/>
      <c r="F847" s="67"/>
      <c r="G847" s="67"/>
      <c r="H847" s="20"/>
      <c r="I847" s="27"/>
      <c r="J847" s="20" t="str">
        <f ca="1">IFERROR(__xludf.DUMMYFUNCTION("IF(I843="""", """", RANK(I843, FILTER(I:I, I:I&lt;&gt;""""), 1))
"),"")</f>
        <v/>
      </c>
    </row>
    <row r="848" spans="1:10" ht="22.5" customHeight="1">
      <c r="A848" s="65"/>
      <c r="B848" s="13"/>
      <c r="C848" s="20"/>
      <c r="D848" s="20"/>
      <c r="E848" s="69"/>
      <c r="F848" s="70"/>
      <c r="G848" s="70"/>
      <c r="H848" s="13"/>
      <c r="I848" s="14"/>
      <c r="J848" s="13" t="str">
        <f ca="1">IFERROR(__xludf.DUMMYFUNCTION("IF(I844="""", """", RANK(I844, FILTER(I:I, I:I&lt;&gt;""""), 1))
"),"")</f>
        <v/>
      </c>
    </row>
    <row r="849" spans="1:10" ht="22.5" customHeight="1">
      <c r="A849" s="68"/>
      <c r="B849" s="20"/>
      <c r="C849" s="13"/>
      <c r="D849" s="13"/>
      <c r="E849" s="66"/>
      <c r="F849" s="67"/>
      <c r="G849" s="67"/>
      <c r="H849" s="20"/>
      <c r="I849" s="27"/>
      <c r="J849" s="20" t="str">
        <f ca="1">IFERROR(__xludf.DUMMYFUNCTION("IF(I845="""", """", RANK(I845, FILTER(I:I, I:I&lt;&gt;""""), 1))
"),"")</f>
        <v/>
      </c>
    </row>
    <row r="850" spans="1:10" ht="22.5" customHeight="1">
      <c r="A850" s="65"/>
      <c r="B850" s="13"/>
      <c r="C850" s="20"/>
      <c r="D850" s="20"/>
      <c r="E850" s="69"/>
      <c r="F850" s="70"/>
      <c r="G850" s="70"/>
      <c r="H850" s="13"/>
      <c r="I850" s="14"/>
      <c r="J850" s="13" t="str">
        <f ca="1">IFERROR(__xludf.DUMMYFUNCTION("IF(I846="""", """", RANK(I846, FILTER(I:I, I:I&lt;&gt;""""), 1))
"),"")</f>
        <v/>
      </c>
    </row>
    <row r="851" spans="1:10" ht="22.5" customHeight="1">
      <c r="A851" s="68"/>
      <c r="B851" s="20"/>
      <c r="C851" s="13"/>
      <c r="D851" s="13"/>
      <c r="E851" s="66"/>
      <c r="F851" s="67"/>
      <c r="G851" s="67"/>
      <c r="H851" s="20"/>
      <c r="I851" s="27"/>
      <c r="J851" s="20" t="str">
        <f ca="1">IFERROR(__xludf.DUMMYFUNCTION("IF(I847="""", """", RANK(I847, FILTER(I:I, I:I&lt;&gt;""""), 1))
"),"")</f>
        <v/>
      </c>
    </row>
    <row r="852" spans="1:10" ht="22.5" customHeight="1">
      <c r="A852" s="65"/>
      <c r="B852" s="13"/>
      <c r="C852" s="20"/>
      <c r="D852" s="20"/>
      <c r="E852" s="69"/>
      <c r="F852" s="70"/>
      <c r="G852" s="70"/>
      <c r="H852" s="13"/>
      <c r="I852" s="14"/>
      <c r="J852" s="13" t="str">
        <f ca="1">IFERROR(__xludf.DUMMYFUNCTION("IF(I848="""", """", RANK(I848, FILTER(I:I, I:I&lt;&gt;""""), 1))
"),"")</f>
        <v/>
      </c>
    </row>
    <row r="853" spans="1:10" ht="22.5" customHeight="1">
      <c r="A853" s="68"/>
      <c r="B853" s="20"/>
      <c r="C853" s="13"/>
      <c r="D853" s="13"/>
      <c r="E853" s="66"/>
      <c r="F853" s="67"/>
      <c r="G853" s="67"/>
      <c r="H853" s="20"/>
      <c r="I853" s="27"/>
      <c r="J853" s="20" t="str">
        <f ca="1">IFERROR(__xludf.DUMMYFUNCTION("IF(I849="""", """", RANK(I849, FILTER(I:I, I:I&lt;&gt;""""), 1))
"),"")</f>
        <v/>
      </c>
    </row>
    <row r="854" spans="1:10" ht="22.5" customHeight="1">
      <c r="A854" s="65"/>
      <c r="B854" s="13"/>
      <c r="C854" s="20"/>
      <c r="D854" s="20"/>
      <c r="E854" s="69"/>
      <c r="F854" s="70"/>
      <c r="G854" s="70"/>
      <c r="H854" s="13"/>
      <c r="I854" s="14"/>
      <c r="J854" s="13" t="str">
        <f ca="1">IFERROR(__xludf.DUMMYFUNCTION("IF(I850="""", """", RANK(I850, FILTER(I:I, I:I&lt;&gt;""""), 1))
"),"")</f>
        <v/>
      </c>
    </row>
    <row r="855" spans="1:10" ht="22.5" customHeight="1">
      <c r="A855" s="68"/>
      <c r="B855" s="20"/>
      <c r="C855" s="13"/>
      <c r="D855" s="13"/>
      <c r="E855" s="66"/>
      <c r="F855" s="67"/>
      <c r="G855" s="67"/>
      <c r="H855" s="20"/>
      <c r="I855" s="27"/>
      <c r="J855" s="20" t="str">
        <f ca="1">IFERROR(__xludf.DUMMYFUNCTION("IF(I851="""", """", RANK(I851, FILTER(I:I, I:I&lt;&gt;""""), 1))
"),"")</f>
        <v/>
      </c>
    </row>
    <row r="856" spans="1:10" ht="22.5" customHeight="1">
      <c r="A856" s="65"/>
      <c r="B856" s="13"/>
      <c r="C856" s="20"/>
      <c r="D856" s="20"/>
      <c r="E856" s="69"/>
      <c r="F856" s="70"/>
      <c r="G856" s="70"/>
      <c r="H856" s="13"/>
      <c r="I856" s="14"/>
      <c r="J856" s="13" t="str">
        <f ca="1">IFERROR(__xludf.DUMMYFUNCTION("IF(I852="""", """", RANK(I852, FILTER(I:I, I:I&lt;&gt;""""), 1))
"),"")</f>
        <v/>
      </c>
    </row>
    <row r="857" spans="1:10" ht="22.5" customHeight="1">
      <c r="A857" s="68"/>
      <c r="B857" s="20"/>
      <c r="C857" s="13"/>
      <c r="D857" s="13"/>
      <c r="E857" s="66"/>
      <c r="F857" s="67"/>
      <c r="G857" s="67"/>
      <c r="H857" s="20"/>
      <c r="I857" s="27"/>
      <c r="J857" s="20" t="str">
        <f ca="1">IFERROR(__xludf.DUMMYFUNCTION("IF(I853="""", """", RANK(I853, FILTER(I:I, I:I&lt;&gt;""""), 1))
"),"")</f>
        <v/>
      </c>
    </row>
    <row r="858" spans="1:10" ht="22.5" customHeight="1">
      <c r="A858" s="65"/>
      <c r="B858" s="13"/>
      <c r="C858" s="20"/>
      <c r="D858" s="20"/>
      <c r="E858" s="69"/>
      <c r="F858" s="70"/>
      <c r="G858" s="70"/>
      <c r="H858" s="13"/>
      <c r="I858" s="14"/>
      <c r="J858" s="13" t="str">
        <f ca="1">IFERROR(__xludf.DUMMYFUNCTION("IF(I854="""", """", RANK(I854, FILTER(I:I, I:I&lt;&gt;""""), 1))
"),"")</f>
        <v/>
      </c>
    </row>
    <row r="859" spans="1:10" ht="22.5" customHeight="1">
      <c r="A859" s="68"/>
      <c r="B859" s="20"/>
      <c r="C859" s="13"/>
      <c r="D859" s="13"/>
      <c r="E859" s="66"/>
      <c r="F859" s="67"/>
      <c r="G859" s="67"/>
      <c r="H859" s="20"/>
      <c r="I859" s="27"/>
      <c r="J859" s="20" t="str">
        <f ca="1">IFERROR(__xludf.DUMMYFUNCTION("IF(I855="""", """", RANK(I855, FILTER(I:I, I:I&lt;&gt;""""), 1))
"),"")</f>
        <v/>
      </c>
    </row>
    <row r="860" spans="1:10" ht="22.5" customHeight="1">
      <c r="A860" s="65"/>
      <c r="B860" s="13"/>
      <c r="C860" s="20"/>
      <c r="D860" s="20"/>
      <c r="E860" s="69"/>
      <c r="F860" s="70"/>
      <c r="G860" s="70"/>
      <c r="H860" s="13"/>
      <c r="I860" s="14"/>
      <c r="J860" s="13" t="str">
        <f ca="1">IFERROR(__xludf.DUMMYFUNCTION("IF(I856="""", """", RANK(I856, FILTER(I:I, I:I&lt;&gt;""""), 1))
"),"")</f>
        <v/>
      </c>
    </row>
    <row r="861" spans="1:10" ht="22.5" customHeight="1">
      <c r="A861" s="68"/>
      <c r="B861" s="20"/>
      <c r="C861" s="13"/>
      <c r="D861" s="13"/>
      <c r="E861" s="66"/>
      <c r="F861" s="67"/>
      <c r="G861" s="67"/>
      <c r="H861" s="20"/>
      <c r="I861" s="27"/>
      <c r="J861" s="20" t="str">
        <f ca="1">IFERROR(__xludf.DUMMYFUNCTION("IF(I857="""", """", RANK(I857, FILTER(I:I, I:I&lt;&gt;""""), 1))
"),"")</f>
        <v/>
      </c>
    </row>
    <row r="862" spans="1:10" ht="22.5" customHeight="1">
      <c r="A862" s="65"/>
      <c r="B862" s="13"/>
      <c r="C862" s="20"/>
      <c r="D862" s="20"/>
      <c r="E862" s="69"/>
      <c r="F862" s="70"/>
      <c r="G862" s="70"/>
      <c r="H862" s="13"/>
      <c r="I862" s="14"/>
      <c r="J862" s="13" t="str">
        <f ca="1">IFERROR(__xludf.DUMMYFUNCTION("IF(I858="""", """", RANK(I858, FILTER(I:I, I:I&lt;&gt;""""), 1))
"),"")</f>
        <v/>
      </c>
    </row>
    <row r="863" spans="1:10" ht="22.5" customHeight="1">
      <c r="A863" s="68"/>
      <c r="B863" s="20"/>
      <c r="C863" s="13"/>
      <c r="D863" s="13"/>
      <c r="E863" s="66"/>
      <c r="F863" s="67"/>
      <c r="G863" s="67"/>
      <c r="H863" s="20"/>
      <c r="I863" s="27"/>
      <c r="J863" s="20" t="str">
        <f ca="1">IFERROR(__xludf.DUMMYFUNCTION("IF(I859="""", """", RANK(I859, FILTER(I:I, I:I&lt;&gt;""""), 1))
"),"")</f>
        <v/>
      </c>
    </row>
    <row r="864" spans="1:10" ht="22.5" customHeight="1">
      <c r="A864" s="65"/>
      <c r="B864" s="13"/>
      <c r="C864" s="20"/>
      <c r="D864" s="20"/>
      <c r="E864" s="69"/>
      <c r="F864" s="70"/>
      <c r="G864" s="70"/>
      <c r="H864" s="13"/>
      <c r="I864" s="14"/>
      <c r="J864" s="13" t="str">
        <f ca="1">IFERROR(__xludf.DUMMYFUNCTION("IF(I860="""", """", RANK(I860, FILTER(I:I, I:I&lt;&gt;""""), 1))
"),"")</f>
        <v/>
      </c>
    </row>
    <row r="865" spans="1:10" ht="22.5" customHeight="1">
      <c r="A865" s="68"/>
      <c r="B865" s="20"/>
      <c r="C865" s="13"/>
      <c r="D865" s="13"/>
      <c r="E865" s="66"/>
      <c r="F865" s="67"/>
      <c r="G865" s="67"/>
      <c r="H865" s="20"/>
      <c r="I865" s="27"/>
      <c r="J865" s="20" t="str">
        <f ca="1">IFERROR(__xludf.DUMMYFUNCTION("IF(I861="""", """", RANK(I861, FILTER(I:I, I:I&lt;&gt;""""), 1))
"),"")</f>
        <v/>
      </c>
    </row>
    <row r="866" spans="1:10" ht="22.5" customHeight="1">
      <c r="A866" s="65"/>
      <c r="B866" s="13"/>
      <c r="C866" s="20"/>
      <c r="D866" s="20"/>
      <c r="E866" s="69"/>
      <c r="F866" s="70"/>
      <c r="G866" s="70"/>
      <c r="H866" s="13"/>
      <c r="I866" s="14"/>
      <c r="J866" s="13" t="str">
        <f ca="1">IFERROR(__xludf.DUMMYFUNCTION("IF(I862="""", """", RANK(I862, FILTER(I:I, I:I&lt;&gt;""""), 1))
"),"")</f>
        <v/>
      </c>
    </row>
    <row r="867" spans="1:10" ht="22.5" customHeight="1">
      <c r="A867" s="68"/>
      <c r="B867" s="20"/>
      <c r="C867" s="13"/>
      <c r="D867" s="13"/>
      <c r="E867" s="66"/>
      <c r="F867" s="67"/>
      <c r="G867" s="67"/>
      <c r="H867" s="20"/>
      <c r="I867" s="27"/>
      <c r="J867" s="20" t="str">
        <f ca="1">IFERROR(__xludf.DUMMYFUNCTION("IF(I863="""", """", RANK(I863, FILTER(I:I, I:I&lt;&gt;""""), 1))
"),"")</f>
        <v/>
      </c>
    </row>
    <row r="868" spans="1:10" ht="22.5" customHeight="1">
      <c r="A868" s="65"/>
      <c r="B868" s="13"/>
      <c r="C868" s="20"/>
      <c r="D868" s="20"/>
      <c r="E868" s="69"/>
      <c r="F868" s="70"/>
      <c r="G868" s="70"/>
      <c r="H868" s="13"/>
      <c r="I868" s="14"/>
      <c r="J868" s="13" t="str">
        <f ca="1">IFERROR(__xludf.DUMMYFUNCTION("IF(I864="""", """", RANK(I864, FILTER(I:I, I:I&lt;&gt;""""), 1))
"),"")</f>
        <v/>
      </c>
    </row>
    <row r="869" spans="1:10" ht="22.5" customHeight="1">
      <c r="A869" s="68"/>
      <c r="B869" s="20"/>
      <c r="C869" s="13"/>
      <c r="D869" s="13"/>
      <c r="E869" s="66"/>
      <c r="F869" s="67"/>
      <c r="G869" s="67"/>
      <c r="H869" s="20"/>
      <c r="I869" s="27"/>
      <c r="J869" s="20" t="str">
        <f ca="1">IFERROR(__xludf.DUMMYFUNCTION("IF(I865="""", """", RANK(I865, FILTER(I:I, I:I&lt;&gt;""""), 1))
"),"")</f>
        <v/>
      </c>
    </row>
    <row r="870" spans="1:10" ht="22.5" customHeight="1">
      <c r="A870" s="65"/>
      <c r="B870" s="13"/>
      <c r="C870" s="20"/>
      <c r="D870" s="20"/>
      <c r="E870" s="69"/>
      <c r="F870" s="70"/>
      <c r="G870" s="70"/>
      <c r="H870" s="13"/>
      <c r="I870" s="14"/>
      <c r="J870" s="13" t="str">
        <f ca="1">IFERROR(__xludf.DUMMYFUNCTION("IF(I866="""", """", RANK(I866, FILTER(I:I, I:I&lt;&gt;""""), 1))
"),"")</f>
        <v/>
      </c>
    </row>
    <row r="871" spans="1:10" ht="22.5" customHeight="1">
      <c r="A871" s="68"/>
      <c r="B871" s="20"/>
      <c r="C871" s="13"/>
      <c r="D871" s="13"/>
      <c r="E871" s="66"/>
      <c r="F871" s="67"/>
      <c r="G871" s="67"/>
      <c r="H871" s="20"/>
      <c r="I871" s="27"/>
      <c r="J871" s="20" t="str">
        <f ca="1">IFERROR(__xludf.DUMMYFUNCTION("IF(I867="""", """", RANK(I867, FILTER(I:I, I:I&lt;&gt;""""), 1))
"),"")</f>
        <v/>
      </c>
    </row>
    <row r="872" spans="1:10" ht="22.5" customHeight="1">
      <c r="A872" s="65"/>
      <c r="B872" s="13"/>
      <c r="C872" s="20"/>
      <c r="D872" s="20"/>
      <c r="E872" s="69"/>
      <c r="F872" s="70"/>
      <c r="G872" s="70"/>
      <c r="H872" s="13"/>
      <c r="I872" s="14"/>
      <c r="J872" s="13" t="str">
        <f ca="1">IFERROR(__xludf.DUMMYFUNCTION("IF(I868="""", """", RANK(I868, FILTER(I:I, I:I&lt;&gt;""""), 1))
"),"")</f>
        <v/>
      </c>
    </row>
    <row r="873" spans="1:10" ht="22.5" customHeight="1">
      <c r="A873" s="68"/>
      <c r="B873" s="20"/>
      <c r="C873" s="13"/>
      <c r="D873" s="13"/>
      <c r="E873" s="66"/>
      <c r="F873" s="67"/>
      <c r="G873" s="67"/>
      <c r="H873" s="20"/>
      <c r="I873" s="27"/>
      <c r="J873" s="20" t="str">
        <f ca="1">IFERROR(__xludf.DUMMYFUNCTION("IF(I869="""", """", RANK(I869, FILTER(I:I, I:I&lt;&gt;""""), 1))
"),"")</f>
        <v/>
      </c>
    </row>
    <row r="874" spans="1:10" ht="22.5" customHeight="1">
      <c r="A874" s="65"/>
      <c r="B874" s="13"/>
      <c r="C874" s="20"/>
      <c r="D874" s="20"/>
      <c r="E874" s="69"/>
      <c r="F874" s="70"/>
      <c r="G874" s="70"/>
      <c r="H874" s="13"/>
      <c r="I874" s="14"/>
      <c r="J874" s="13" t="str">
        <f ca="1">IFERROR(__xludf.DUMMYFUNCTION("IF(I870="""", """", RANK(I870, FILTER(I:I, I:I&lt;&gt;""""), 1))
"),"")</f>
        <v/>
      </c>
    </row>
    <row r="875" spans="1:10" ht="22.5" customHeight="1">
      <c r="A875" s="68"/>
      <c r="B875" s="20"/>
      <c r="C875" s="13"/>
      <c r="D875" s="13"/>
      <c r="E875" s="66"/>
      <c r="F875" s="67"/>
      <c r="G875" s="67"/>
      <c r="H875" s="20"/>
      <c r="I875" s="27"/>
      <c r="J875" s="20" t="str">
        <f ca="1">IFERROR(__xludf.DUMMYFUNCTION("IF(I871="""", """", RANK(I871, FILTER(I:I, I:I&lt;&gt;""""), 1))
"),"")</f>
        <v/>
      </c>
    </row>
    <row r="876" spans="1:10" ht="22.5" customHeight="1">
      <c r="A876" s="65"/>
      <c r="B876" s="13"/>
      <c r="C876" s="20"/>
      <c r="D876" s="20"/>
      <c r="E876" s="69"/>
      <c r="F876" s="70"/>
      <c r="G876" s="70"/>
      <c r="H876" s="13"/>
      <c r="I876" s="14"/>
      <c r="J876" s="13" t="str">
        <f ca="1">IFERROR(__xludf.DUMMYFUNCTION("IF(I872="""", """", RANK(I872, FILTER(I:I, I:I&lt;&gt;""""), 1))
"),"")</f>
        <v/>
      </c>
    </row>
    <row r="877" spans="1:10" ht="22.5" customHeight="1">
      <c r="A877" s="68"/>
      <c r="B877" s="20"/>
      <c r="C877" s="13"/>
      <c r="D877" s="13"/>
      <c r="E877" s="66"/>
      <c r="F877" s="67"/>
      <c r="G877" s="67"/>
      <c r="H877" s="20"/>
      <c r="I877" s="27"/>
      <c r="J877" s="20" t="str">
        <f ca="1">IFERROR(__xludf.DUMMYFUNCTION("IF(I873="""", """", RANK(I873, FILTER(I:I, I:I&lt;&gt;""""), 1))
"),"")</f>
        <v/>
      </c>
    </row>
    <row r="878" spans="1:10" ht="22.5" customHeight="1">
      <c r="A878" s="65"/>
      <c r="B878" s="13"/>
      <c r="C878" s="20"/>
      <c r="D878" s="20"/>
      <c r="E878" s="69"/>
      <c r="F878" s="70"/>
      <c r="G878" s="70"/>
      <c r="H878" s="13"/>
      <c r="I878" s="14"/>
      <c r="J878" s="13" t="str">
        <f ca="1">IFERROR(__xludf.DUMMYFUNCTION("IF(I874="""", """", RANK(I874, FILTER(I:I, I:I&lt;&gt;""""), 1))
"),"")</f>
        <v/>
      </c>
    </row>
    <row r="879" spans="1:10" ht="22.5" customHeight="1">
      <c r="A879" s="68"/>
      <c r="B879" s="20"/>
      <c r="C879" s="13"/>
      <c r="D879" s="13"/>
      <c r="E879" s="66"/>
      <c r="F879" s="67"/>
      <c r="G879" s="67"/>
      <c r="H879" s="20"/>
      <c r="I879" s="27"/>
      <c r="J879" s="20" t="str">
        <f ca="1">IFERROR(__xludf.DUMMYFUNCTION("IF(I875="""", """", RANK(I875, FILTER(I:I, I:I&lt;&gt;""""), 1))
"),"")</f>
        <v/>
      </c>
    </row>
    <row r="880" spans="1:10" ht="22.5" customHeight="1">
      <c r="A880" s="65"/>
      <c r="B880" s="13"/>
      <c r="C880" s="20"/>
      <c r="D880" s="20"/>
      <c r="E880" s="69"/>
      <c r="F880" s="70"/>
      <c r="G880" s="70"/>
      <c r="H880" s="13"/>
      <c r="I880" s="14"/>
      <c r="J880" s="13" t="str">
        <f ca="1">IFERROR(__xludf.DUMMYFUNCTION("IF(I876="""", """", RANK(I876, FILTER(I:I, I:I&lt;&gt;""""), 1))
"),"")</f>
        <v/>
      </c>
    </row>
    <row r="881" spans="1:10" ht="22.5" customHeight="1">
      <c r="A881" s="68"/>
      <c r="B881" s="20"/>
      <c r="C881" s="13"/>
      <c r="D881" s="13"/>
      <c r="E881" s="66"/>
      <c r="F881" s="67"/>
      <c r="G881" s="67"/>
      <c r="H881" s="20"/>
      <c r="I881" s="27"/>
      <c r="J881" s="20" t="str">
        <f ca="1">IFERROR(__xludf.DUMMYFUNCTION("IF(I877="""", """", RANK(I877, FILTER(I:I, I:I&lt;&gt;""""), 1))
"),"")</f>
        <v/>
      </c>
    </row>
    <row r="882" spans="1:10" ht="22.5" customHeight="1">
      <c r="A882" s="65"/>
      <c r="B882" s="13"/>
      <c r="C882" s="20"/>
      <c r="D882" s="20"/>
      <c r="E882" s="69"/>
      <c r="F882" s="70"/>
      <c r="G882" s="70"/>
      <c r="H882" s="13"/>
      <c r="I882" s="14"/>
      <c r="J882" s="13" t="str">
        <f ca="1">IFERROR(__xludf.DUMMYFUNCTION("IF(I878="""", """", RANK(I878, FILTER(I:I, I:I&lt;&gt;""""), 1))
"),"")</f>
        <v/>
      </c>
    </row>
    <row r="883" spans="1:10" ht="22.5" customHeight="1">
      <c r="A883" s="68"/>
      <c r="B883" s="20"/>
      <c r="C883" s="13"/>
      <c r="D883" s="13"/>
      <c r="E883" s="66"/>
      <c r="F883" s="67"/>
      <c r="G883" s="67"/>
      <c r="H883" s="20"/>
      <c r="I883" s="27"/>
      <c r="J883" s="20" t="str">
        <f ca="1">IFERROR(__xludf.DUMMYFUNCTION("IF(I879="""", """", RANK(I879, FILTER(I:I, I:I&lt;&gt;""""), 1))
"),"")</f>
        <v/>
      </c>
    </row>
    <row r="884" spans="1:10" ht="22.5" customHeight="1">
      <c r="A884" s="65"/>
      <c r="B884" s="13"/>
      <c r="C884" s="20"/>
      <c r="D884" s="20"/>
      <c r="E884" s="69"/>
      <c r="F884" s="70"/>
      <c r="G884" s="70"/>
      <c r="H884" s="13"/>
      <c r="I884" s="14"/>
      <c r="J884" s="13" t="str">
        <f ca="1">IFERROR(__xludf.DUMMYFUNCTION("IF(I880="""", """", RANK(I880, FILTER(I:I, I:I&lt;&gt;""""), 1))
"),"")</f>
        <v/>
      </c>
    </row>
    <row r="885" spans="1:10" ht="22.5" customHeight="1">
      <c r="A885" s="68"/>
      <c r="B885" s="20"/>
      <c r="C885" s="13"/>
      <c r="D885" s="13"/>
      <c r="E885" s="66"/>
      <c r="F885" s="67"/>
      <c r="G885" s="67"/>
      <c r="H885" s="20"/>
      <c r="I885" s="27"/>
      <c r="J885" s="20" t="str">
        <f ca="1">IFERROR(__xludf.DUMMYFUNCTION("IF(I881="""", """", RANK(I881, FILTER(I:I, I:I&lt;&gt;""""), 1))
"),"")</f>
        <v/>
      </c>
    </row>
    <row r="886" spans="1:10" ht="22.5" customHeight="1">
      <c r="A886" s="65"/>
      <c r="B886" s="13"/>
      <c r="C886" s="20"/>
      <c r="D886" s="20"/>
      <c r="E886" s="69"/>
      <c r="F886" s="70"/>
      <c r="G886" s="70"/>
      <c r="H886" s="13"/>
      <c r="I886" s="14"/>
      <c r="J886" s="13" t="str">
        <f ca="1">IFERROR(__xludf.DUMMYFUNCTION("IF(I882="""", """", RANK(I882, FILTER(I:I, I:I&lt;&gt;""""), 1))
"),"")</f>
        <v/>
      </c>
    </row>
    <row r="887" spans="1:10" ht="22.5" customHeight="1">
      <c r="A887" s="68"/>
      <c r="B887" s="20"/>
      <c r="C887" s="13"/>
      <c r="D887" s="13"/>
      <c r="E887" s="66"/>
      <c r="F887" s="67"/>
      <c r="G887" s="67"/>
      <c r="H887" s="20"/>
      <c r="I887" s="27"/>
      <c r="J887" s="20" t="str">
        <f ca="1">IFERROR(__xludf.DUMMYFUNCTION("IF(I883="""", """", RANK(I883, FILTER(I:I, I:I&lt;&gt;""""), 1))
"),"")</f>
        <v/>
      </c>
    </row>
    <row r="888" spans="1:10" ht="22.5" customHeight="1">
      <c r="A888" s="65"/>
      <c r="B888" s="13"/>
      <c r="C888" s="20"/>
      <c r="D888" s="20"/>
      <c r="E888" s="69"/>
      <c r="F888" s="70"/>
      <c r="G888" s="70"/>
      <c r="H888" s="13"/>
      <c r="I888" s="14"/>
      <c r="J888" s="13" t="str">
        <f ca="1">IFERROR(__xludf.DUMMYFUNCTION("IF(I884="""", """", RANK(I884, FILTER(I:I, I:I&lt;&gt;""""), 1))
"),"")</f>
        <v/>
      </c>
    </row>
    <row r="889" spans="1:10" ht="22.5" customHeight="1">
      <c r="A889" s="68"/>
      <c r="B889" s="20"/>
      <c r="C889" s="13"/>
      <c r="D889" s="13"/>
      <c r="E889" s="66"/>
      <c r="F889" s="67"/>
      <c r="G889" s="67"/>
      <c r="H889" s="20"/>
      <c r="I889" s="27"/>
      <c r="J889" s="20" t="str">
        <f ca="1">IFERROR(__xludf.DUMMYFUNCTION("IF(I885="""", """", RANK(I885, FILTER(I:I, I:I&lt;&gt;""""), 1))
"),"")</f>
        <v/>
      </c>
    </row>
    <row r="890" spans="1:10" ht="22.5" customHeight="1">
      <c r="A890" s="65"/>
      <c r="B890" s="13"/>
      <c r="C890" s="20"/>
      <c r="D890" s="20"/>
      <c r="E890" s="69"/>
      <c r="F890" s="70"/>
      <c r="G890" s="70"/>
      <c r="H890" s="13"/>
      <c r="I890" s="14"/>
      <c r="J890" s="13" t="str">
        <f ca="1">IFERROR(__xludf.DUMMYFUNCTION("IF(I886="""", """", RANK(I886, FILTER(I:I, I:I&lt;&gt;""""), 1))
"),"")</f>
        <v/>
      </c>
    </row>
    <row r="891" spans="1:10" ht="22.5" customHeight="1">
      <c r="A891" s="68"/>
      <c r="B891" s="20"/>
      <c r="C891" s="13"/>
      <c r="D891" s="13"/>
      <c r="E891" s="66"/>
      <c r="F891" s="67"/>
      <c r="G891" s="67"/>
      <c r="H891" s="20"/>
      <c r="I891" s="27"/>
      <c r="J891" s="20" t="str">
        <f ca="1">IFERROR(__xludf.DUMMYFUNCTION("IF(I887="""", """", RANK(I887, FILTER(I:I, I:I&lt;&gt;""""), 1))
"),"")</f>
        <v/>
      </c>
    </row>
    <row r="892" spans="1:10" ht="22.5" customHeight="1">
      <c r="A892" s="65"/>
      <c r="B892" s="13"/>
      <c r="C892" s="20"/>
      <c r="D892" s="20"/>
      <c r="E892" s="69"/>
      <c r="F892" s="70"/>
      <c r="G892" s="70"/>
      <c r="H892" s="13"/>
      <c r="I892" s="14"/>
      <c r="J892" s="13" t="str">
        <f ca="1">IFERROR(__xludf.DUMMYFUNCTION("IF(I888="""", """", RANK(I888, FILTER(I:I, I:I&lt;&gt;""""), 1))
"),"")</f>
        <v/>
      </c>
    </row>
    <row r="893" spans="1:10" ht="22.5" customHeight="1">
      <c r="A893" s="68"/>
      <c r="B893" s="20"/>
      <c r="C893" s="13"/>
      <c r="D893" s="13"/>
      <c r="E893" s="66"/>
      <c r="F893" s="67"/>
      <c r="G893" s="67"/>
      <c r="H893" s="20"/>
      <c r="I893" s="27"/>
      <c r="J893" s="20" t="str">
        <f ca="1">IFERROR(__xludf.DUMMYFUNCTION("IF(I889="""", """", RANK(I889, FILTER(I:I, I:I&lt;&gt;""""), 1))
"),"")</f>
        <v/>
      </c>
    </row>
    <row r="894" spans="1:10" ht="22.5" customHeight="1">
      <c r="A894" s="65"/>
      <c r="B894" s="13"/>
      <c r="C894" s="20"/>
      <c r="D894" s="20"/>
      <c r="E894" s="69"/>
      <c r="F894" s="70"/>
      <c r="G894" s="70"/>
      <c r="H894" s="13"/>
      <c r="I894" s="14"/>
      <c r="J894" s="13" t="str">
        <f ca="1">IFERROR(__xludf.DUMMYFUNCTION("IF(I890="""", """", RANK(I890, FILTER(I:I, I:I&lt;&gt;""""), 1))
"),"")</f>
        <v/>
      </c>
    </row>
    <row r="895" spans="1:10" ht="22.5" customHeight="1">
      <c r="A895" s="68"/>
      <c r="B895" s="20"/>
      <c r="C895" s="13"/>
      <c r="D895" s="13"/>
      <c r="E895" s="66"/>
      <c r="F895" s="67"/>
      <c r="G895" s="67"/>
      <c r="H895" s="20"/>
      <c r="I895" s="27"/>
      <c r="J895" s="20" t="str">
        <f ca="1">IFERROR(__xludf.DUMMYFUNCTION("IF(I891="""", """", RANK(I891, FILTER(I:I, I:I&lt;&gt;""""), 1))
"),"")</f>
        <v/>
      </c>
    </row>
    <row r="896" spans="1:10" ht="22.5" customHeight="1">
      <c r="A896" s="65"/>
      <c r="B896" s="13"/>
      <c r="C896" s="20"/>
      <c r="D896" s="20"/>
      <c r="E896" s="69"/>
      <c r="F896" s="70"/>
      <c r="G896" s="70"/>
      <c r="H896" s="13"/>
      <c r="I896" s="14"/>
      <c r="J896" s="13" t="str">
        <f ca="1">IFERROR(__xludf.DUMMYFUNCTION("IF(I892="""", """", RANK(I892, FILTER(I:I, I:I&lt;&gt;""""), 1))
"),"")</f>
        <v/>
      </c>
    </row>
    <row r="897" spans="1:10" ht="22.5" customHeight="1">
      <c r="A897" s="68"/>
      <c r="B897" s="20"/>
      <c r="C897" s="13"/>
      <c r="D897" s="13"/>
      <c r="E897" s="66"/>
      <c r="F897" s="67"/>
      <c r="G897" s="67"/>
      <c r="H897" s="20"/>
      <c r="I897" s="27"/>
      <c r="J897" s="20" t="str">
        <f ca="1">IFERROR(__xludf.DUMMYFUNCTION("IF(I893="""", """", RANK(I893, FILTER(I:I, I:I&lt;&gt;""""), 1))
"),"")</f>
        <v/>
      </c>
    </row>
    <row r="898" spans="1:10" ht="22.5" customHeight="1">
      <c r="A898" s="65"/>
      <c r="B898" s="13"/>
      <c r="C898" s="20"/>
      <c r="D898" s="20"/>
      <c r="E898" s="69"/>
      <c r="F898" s="70"/>
      <c r="G898" s="70"/>
      <c r="H898" s="13"/>
      <c r="I898" s="14"/>
      <c r="J898" s="13" t="str">
        <f ca="1">IFERROR(__xludf.DUMMYFUNCTION("IF(I894="""", """", RANK(I894, FILTER(I:I, I:I&lt;&gt;""""), 1))
"),"")</f>
        <v/>
      </c>
    </row>
    <row r="899" spans="1:10" ht="22.5" customHeight="1">
      <c r="A899" s="68"/>
      <c r="B899" s="20"/>
      <c r="C899" s="13"/>
      <c r="D899" s="13"/>
      <c r="E899" s="66"/>
      <c r="F899" s="67"/>
      <c r="G899" s="67"/>
      <c r="H899" s="20"/>
      <c r="I899" s="27"/>
      <c r="J899" s="20" t="str">
        <f ca="1">IFERROR(__xludf.DUMMYFUNCTION("IF(I895="""", """", RANK(I895, FILTER(I:I, I:I&lt;&gt;""""), 1))
"),"")</f>
        <v/>
      </c>
    </row>
    <row r="900" spans="1:10" ht="22.5" customHeight="1">
      <c r="A900" s="65"/>
      <c r="B900" s="13"/>
      <c r="C900" s="20"/>
      <c r="D900" s="20"/>
      <c r="E900" s="69"/>
      <c r="F900" s="70"/>
      <c r="G900" s="70"/>
      <c r="H900" s="13"/>
      <c r="I900" s="14"/>
      <c r="J900" s="13" t="str">
        <f ca="1">IFERROR(__xludf.DUMMYFUNCTION("IF(I896="""", """", RANK(I896, FILTER(I:I, I:I&lt;&gt;""""), 1))
"),"")</f>
        <v/>
      </c>
    </row>
    <row r="901" spans="1:10" ht="22.5" customHeight="1">
      <c r="A901" s="68"/>
      <c r="B901" s="20"/>
      <c r="C901" s="13"/>
      <c r="D901" s="13"/>
      <c r="E901" s="66"/>
      <c r="F901" s="67"/>
      <c r="G901" s="67"/>
      <c r="H901" s="20"/>
      <c r="I901" s="27"/>
      <c r="J901" s="20" t="str">
        <f ca="1">IFERROR(__xludf.DUMMYFUNCTION("IF(I897="""", """", RANK(I897, FILTER(I:I, I:I&lt;&gt;""""), 1))
"),"")</f>
        <v/>
      </c>
    </row>
    <row r="902" spans="1:10" ht="22.5" customHeight="1">
      <c r="A902" s="65"/>
      <c r="B902" s="13"/>
      <c r="C902" s="20"/>
      <c r="D902" s="20"/>
      <c r="E902" s="69"/>
      <c r="F902" s="70"/>
      <c r="G902" s="70"/>
      <c r="H902" s="13"/>
      <c r="I902" s="14"/>
      <c r="J902" s="13" t="str">
        <f ca="1">IFERROR(__xludf.DUMMYFUNCTION("IF(I898="""", """", RANK(I898, FILTER(I:I, I:I&lt;&gt;""""), 1))
"),"")</f>
        <v/>
      </c>
    </row>
    <row r="903" spans="1:10" ht="22.5" customHeight="1">
      <c r="A903" s="68"/>
      <c r="B903" s="20"/>
      <c r="C903" s="13"/>
      <c r="D903" s="13"/>
      <c r="E903" s="66"/>
      <c r="F903" s="67"/>
      <c r="G903" s="67"/>
      <c r="H903" s="20"/>
      <c r="I903" s="27"/>
      <c r="J903" s="20" t="str">
        <f ca="1">IFERROR(__xludf.DUMMYFUNCTION("IF(I899="""", """", RANK(I899, FILTER(I:I, I:I&lt;&gt;""""), 1))
"),"")</f>
        <v/>
      </c>
    </row>
    <row r="904" spans="1:10" ht="22.5" customHeight="1">
      <c r="A904" s="65"/>
      <c r="B904" s="13"/>
      <c r="C904" s="20"/>
      <c r="D904" s="20"/>
      <c r="E904" s="69"/>
      <c r="F904" s="70"/>
      <c r="G904" s="70"/>
      <c r="H904" s="13"/>
      <c r="I904" s="14"/>
      <c r="J904" s="13" t="str">
        <f ca="1">IFERROR(__xludf.DUMMYFUNCTION("IF(I900="""", """", RANK(I900, FILTER(I:I, I:I&lt;&gt;""""), 1))
"),"")</f>
        <v/>
      </c>
    </row>
    <row r="905" spans="1:10" ht="22.5" customHeight="1">
      <c r="A905" s="68"/>
      <c r="B905" s="20"/>
      <c r="C905" s="13"/>
      <c r="D905" s="13"/>
      <c r="E905" s="66"/>
      <c r="F905" s="67"/>
      <c r="G905" s="67"/>
      <c r="H905" s="20"/>
      <c r="I905" s="27"/>
      <c r="J905" s="20" t="str">
        <f ca="1">IFERROR(__xludf.DUMMYFUNCTION("IF(I901="""", """", RANK(I901, FILTER(I:I, I:I&lt;&gt;""""), 1))
"),"")</f>
        <v/>
      </c>
    </row>
    <row r="906" spans="1:10" ht="22.5" customHeight="1">
      <c r="A906" s="65"/>
      <c r="B906" s="13"/>
      <c r="C906" s="20"/>
      <c r="D906" s="20"/>
      <c r="E906" s="69"/>
      <c r="F906" s="70"/>
      <c r="G906" s="70"/>
      <c r="H906" s="13"/>
      <c r="I906" s="14"/>
      <c r="J906" s="13" t="str">
        <f ca="1">IFERROR(__xludf.DUMMYFUNCTION("IF(I902="""", """", RANK(I902, FILTER(I:I, I:I&lt;&gt;""""), 1))
"),"")</f>
        <v/>
      </c>
    </row>
    <row r="907" spans="1:10" ht="22.5" customHeight="1">
      <c r="A907" s="68"/>
      <c r="B907" s="20"/>
      <c r="C907" s="13"/>
      <c r="D907" s="13"/>
      <c r="E907" s="66"/>
      <c r="F907" s="67"/>
      <c r="G907" s="67"/>
      <c r="H907" s="20"/>
      <c r="I907" s="27"/>
      <c r="J907" s="20" t="str">
        <f ca="1">IFERROR(__xludf.DUMMYFUNCTION("IF(I903="""", """", RANK(I903, FILTER(I:I, I:I&lt;&gt;""""), 1))
"),"")</f>
        <v/>
      </c>
    </row>
    <row r="908" spans="1:10" ht="22.5" customHeight="1">
      <c r="A908" s="65"/>
      <c r="B908" s="13"/>
      <c r="C908" s="20"/>
      <c r="D908" s="20"/>
      <c r="E908" s="69"/>
      <c r="F908" s="70"/>
      <c r="G908" s="70"/>
      <c r="H908" s="13"/>
      <c r="I908" s="14"/>
      <c r="J908" s="13" t="str">
        <f ca="1">IFERROR(__xludf.DUMMYFUNCTION("IF(I904="""", """", RANK(I904, FILTER(I:I, I:I&lt;&gt;""""), 1))
"),"")</f>
        <v/>
      </c>
    </row>
    <row r="909" spans="1:10" ht="22.5" customHeight="1">
      <c r="A909" s="68"/>
      <c r="B909" s="20"/>
      <c r="C909" s="13"/>
      <c r="D909" s="13"/>
      <c r="E909" s="66"/>
      <c r="F909" s="67"/>
      <c r="G909" s="67"/>
      <c r="H909" s="20"/>
      <c r="I909" s="27"/>
      <c r="J909" s="20" t="str">
        <f ca="1">IFERROR(__xludf.DUMMYFUNCTION("IF(I905="""", """", RANK(I905, FILTER(I:I, I:I&lt;&gt;""""), 1))
"),"")</f>
        <v/>
      </c>
    </row>
    <row r="910" spans="1:10" ht="22.5" customHeight="1">
      <c r="A910" s="65"/>
      <c r="B910" s="13"/>
      <c r="C910" s="20"/>
      <c r="D910" s="20"/>
      <c r="E910" s="69"/>
      <c r="F910" s="70"/>
      <c r="G910" s="70"/>
      <c r="H910" s="13"/>
      <c r="I910" s="14"/>
      <c r="J910" s="13" t="str">
        <f ca="1">IFERROR(__xludf.DUMMYFUNCTION("IF(I906="""", """", RANK(I906, FILTER(I:I, I:I&lt;&gt;""""), 1))
"),"")</f>
        <v/>
      </c>
    </row>
    <row r="911" spans="1:10" ht="22.5" customHeight="1">
      <c r="A911" s="68"/>
      <c r="B911" s="20"/>
      <c r="C911" s="13"/>
      <c r="D911" s="13"/>
      <c r="E911" s="66"/>
      <c r="F911" s="67"/>
      <c r="G911" s="67"/>
      <c r="H911" s="20"/>
      <c r="I911" s="27"/>
      <c r="J911" s="20" t="str">
        <f ca="1">IFERROR(__xludf.DUMMYFUNCTION("IF(I907="""", """", RANK(I907, FILTER(I:I, I:I&lt;&gt;""""), 1))
"),"")</f>
        <v/>
      </c>
    </row>
    <row r="912" spans="1:10" ht="22.5" customHeight="1">
      <c r="A912" s="65"/>
      <c r="B912" s="13"/>
      <c r="C912" s="20"/>
      <c r="D912" s="20"/>
      <c r="E912" s="69"/>
      <c r="F912" s="70"/>
      <c r="G912" s="70"/>
      <c r="H912" s="13"/>
      <c r="I912" s="14"/>
      <c r="J912" s="13" t="str">
        <f ca="1">IFERROR(__xludf.DUMMYFUNCTION("IF(I908="""", """", RANK(I908, FILTER(I:I, I:I&lt;&gt;""""), 1))
"),"")</f>
        <v/>
      </c>
    </row>
    <row r="913" spans="1:10" ht="22.5" customHeight="1">
      <c r="A913" s="68"/>
      <c r="B913" s="20"/>
      <c r="C913" s="13"/>
      <c r="D913" s="13"/>
      <c r="E913" s="66"/>
      <c r="F913" s="67"/>
      <c r="G913" s="67"/>
      <c r="H913" s="20"/>
      <c r="I913" s="27"/>
      <c r="J913" s="20" t="str">
        <f ca="1">IFERROR(__xludf.DUMMYFUNCTION("IF(I909="""", """", RANK(I909, FILTER(I:I, I:I&lt;&gt;""""), 1))
"),"")</f>
        <v/>
      </c>
    </row>
    <row r="914" spans="1:10" ht="22.5" customHeight="1">
      <c r="A914" s="65"/>
      <c r="B914" s="13"/>
      <c r="C914" s="20"/>
      <c r="D914" s="20"/>
      <c r="E914" s="69"/>
      <c r="F914" s="70"/>
      <c r="G914" s="70"/>
      <c r="H914" s="13"/>
      <c r="I914" s="14"/>
      <c r="J914" s="13" t="str">
        <f ca="1">IFERROR(__xludf.DUMMYFUNCTION("IF(I910="""", """", RANK(I910, FILTER(I:I, I:I&lt;&gt;""""), 1))
"),"")</f>
        <v/>
      </c>
    </row>
    <row r="915" spans="1:10" ht="22.5" customHeight="1">
      <c r="A915" s="68"/>
      <c r="B915" s="20"/>
      <c r="C915" s="13"/>
      <c r="D915" s="13"/>
      <c r="E915" s="66"/>
      <c r="F915" s="67"/>
      <c r="G915" s="67"/>
      <c r="H915" s="20"/>
      <c r="I915" s="27"/>
      <c r="J915" s="20" t="str">
        <f ca="1">IFERROR(__xludf.DUMMYFUNCTION("IF(I911="""", """", RANK(I911, FILTER(I:I, I:I&lt;&gt;""""), 1))
"),"")</f>
        <v/>
      </c>
    </row>
    <row r="916" spans="1:10" ht="22.5" customHeight="1">
      <c r="A916" s="65"/>
      <c r="B916" s="13"/>
      <c r="C916" s="20"/>
      <c r="D916" s="20"/>
      <c r="E916" s="69"/>
      <c r="F916" s="70"/>
      <c r="G916" s="70"/>
      <c r="H916" s="13"/>
      <c r="I916" s="14"/>
      <c r="J916" s="13" t="str">
        <f ca="1">IFERROR(__xludf.DUMMYFUNCTION("IF(I912="""", """", RANK(I912, FILTER(I:I, I:I&lt;&gt;""""), 1))
"),"")</f>
        <v/>
      </c>
    </row>
    <row r="917" spans="1:10" ht="22.5" customHeight="1">
      <c r="A917" s="68"/>
      <c r="B917" s="20"/>
      <c r="C917" s="13"/>
      <c r="D917" s="13"/>
      <c r="E917" s="66"/>
      <c r="F917" s="67"/>
      <c r="G917" s="67"/>
      <c r="H917" s="20"/>
      <c r="I917" s="27"/>
      <c r="J917" s="20" t="str">
        <f ca="1">IFERROR(__xludf.DUMMYFUNCTION("IF(I913="""", """", RANK(I913, FILTER(I:I, I:I&lt;&gt;""""), 1))
"),"")</f>
        <v/>
      </c>
    </row>
    <row r="918" spans="1:10" ht="22.5" customHeight="1">
      <c r="A918" s="65"/>
      <c r="B918" s="13"/>
      <c r="C918" s="20"/>
      <c r="D918" s="20"/>
      <c r="E918" s="69"/>
      <c r="F918" s="70"/>
      <c r="G918" s="70"/>
      <c r="H918" s="13"/>
      <c r="I918" s="14"/>
      <c r="J918" s="13" t="str">
        <f ca="1">IFERROR(__xludf.DUMMYFUNCTION("IF(I914="""", """", RANK(I914, FILTER(I:I, I:I&lt;&gt;""""), 1))
"),"")</f>
        <v/>
      </c>
    </row>
    <row r="919" spans="1:10" ht="22.5" customHeight="1">
      <c r="A919" s="68"/>
      <c r="B919" s="20"/>
      <c r="C919" s="13"/>
      <c r="D919" s="13"/>
      <c r="E919" s="66"/>
      <c r="F919" s="67"/>
      <c r="G919" s="67"/>
      <c r="H919" s="20"/>
      <c r="I919" s="27"/>
      <c r="J919" s="20" t="str">
        <f ca="1">IFERROR(__xludf.DUMMYFUNCTION("IF(I915="""", """", RANK(I915, FILTER(I:I, I:I&lt;&gt;""""), 1))
"),"")</f>
        <v/>
      </c>
    </row>
    <row r="920" spans="1:10" ht="22.5" customHeight="1">
      <c r="A920" s="65"/>
      <c r="B920" s="13"/>
      <c r="C920" s="20"/>
      <c r="D920" s="20"/>
      <c r="E920" s="69"/>
      <c r="F920" s="70"/>
      <c r="G920" s="70"/>
      <c r="H920" s="13"/>
      <c r="I920" s="14"/>
      <c r="J920" s="13" t="str">
        <f ca="1">IFERROR(__xludf.DUMMYFUNCTION("IF(I916="""", """", RANK(I916, FILTER(I:I, I:I&lt;&gt;""""), 1))
"),"")</f>
        <v/>
      </c>
    </row>
    <row r="921" spans="1:10" ht="22.5" customHeight="1">
      <c r="A921" s="68"/>
      <c r="B921" s="20"/>
      <c r="C921" s="13"/>
      <c r="D921" s="13"/>
      <c r="E921" s="66"/>
      <c r="F921" s="67"/>
      <c r="G921" s="67"/>
      <c r="H921" s="20"/>
      <c r="I921" s="27"/>
      <c r="J921" s="20" t="str">
        <f ca="1">IFERROR(__xludf.DUMMYFUNCTION("IF(I917="""", """", RANK(I917, FILTER(I:I, I:I&lt;&gt;""""), 1))
"),"")</f>
        <v/>
      </c>
    </row>
    <row r="922" spans="1:10" ht="22.5" customHeight="1">
      <c r="A922" s="65"/>
      <c r="B922" s="13"/>
      <c r="C922" s="20"/>
      <c r="D922" s="20"/>
      <c r="E922" s="69"/>
      <c r="F922" s="70"/>
      <c r="G922" s="70"/>
      <c r="H922" s="13"/>
      <c r="I922" s="14"/>
      <c r="J922" s="13" t="str">
        <f ca="1">IFERROR(__xludf.DUMMYFUNCTION("IF(I918="""", """", RANK(I918, FILTER(I:I, I:I&lt;&gt;""""), 1))
"),"")</f>
        <v/>
      </c>
    </row>
    <row r="923" spans="1:10" ht="22.5" customHeight="1">
      <c r="A923" s="68"/>
      <c r="B923" s="20"/>
      <c r="C923" s="13"/>
      <c r="D923" s="13"/>
      <c r="E923" s="66"/>
      <c r="F923" s="67"/>
      <c r="G923" s="67"/>
      <c r="H923" s="20"/>
      <c r="I923" s="27"/>
      <c r="J923" s="20" t="str">
        <f ca="1">IFERROR(__xludf.DUMMYFUNCTION("IF(I919="""", """", RANK(I919, FILTER(I:I, I:I&lt;&gt;""""), 1))
"),"")</f>
        <v/>
      </c>
    </row>
    <row r="924" spans="1:10" ht="22.5" customHeight="1">
      <c r="A924" s="65"/>
      <c r="B924" s="13"/>
      <c r="C924" s="20"/>
      <c r="D924" s="20"/>
      <c r="E924" s="69"/>
      <c r="F924" s="70"/>
      <c r="G924" s="70"/>
      <c r="H924" s="13"/>
      <c r="I924" s="14"/>
      <c r="J924" s="13" t="str">
        <f ca="1">IFERROR(__xludf.DUMMYFUNCTION("IF(I920="""", """", RANK(I920, FILTER(I:I, I:I&lt;&gt;""""), 1))
"),"")</f>
        <v/>
      </c>
    </row>
    <row r="925" spans="1:10" ht="22.5" customHeight="1">
      <c r="A925" s="68"/>
      <c r="B925" s="20"/>
      <c r="C925" s="13"/>
      <c r="D925" s="13"/>
      <c r="E925" s="66"/>
      <c r="F925" s="67"/>
      <c r="G925" s="67"/>
      <c r="H925" s="20"/>
      <c r="I925" s="27"/>
      <c r="J925" s="20" t="str">
        <f ca="1">IFERROR(__xludf.DUMMYFUNCTION("IF(I921="""", """", RANK(I921, FILTER(I:I, I:I&lt;&gt;""""), 1))
"),"")</f>
        <v/>
      </c>
    </row>
    <row r="926" spans="1:10" ht="22.5" customHeight="1">
      <c r="A926" s="65"/>
      <c r="B926" s="13"/>
      <c r="C926" s="20"/>
      <c r="D926" s="20"/>
      <c r="E926" s="69"/>
      <c r="F926" s="70"/>
      <c r="G926" s="70"/>
      <c r="H926" s="13"/>
      <c r="I926" s="14"/>
      <c r="J926" s="13" t="str">
        <f ca="1">IFERROR(__xludf.DUMMYFUNCTION("IF(I922="""", """", RANK(I922, FILTER(I:I, I:I&lt;&gt;""""), 1))
"),"")</f>
        <v/>
      </c>
    </row>
    <row r="927" spans="1:10" ht="22.5" customHeight="1">
      <c r="A927" s="68"/>
      <c r="B927" s="20"/>
      <c r="C927" s="13"/>
      <c r="D927" s="13"/>
      <c r="E927" s="66"/>
      <c r="F927" s="67"/>
      <c r="G927" s="67"/>
      <c r="H927" s="20"/>
      <c r="I927" s="27"/>
      <c r="J927" s="20" t="str">
        <f ca="1">IFERROR(__xludf.DUMMYFUNCTION("IF(I923="""", """", RANK(I923, FILTER(I:I, I:I&lt;&gt;""""), 1))
"),"")</f>
        <v/>
      </c>
    </row>
    <row r="928" spans="1:10" ht="22.5" customHeight="1">
      <c r="A928" s="65"/>
      <c r="B928" s="13"/>
      <c r="C928" s="20"/>
      <c r="D928" s="20"/>
      <c r="E928" s="69"/>
      <c r="F928" s="70"/>
      <c r="G928" s="70"/>
      <c r="H928" s="13"/>
      <c r="I928" s="14"/>
      <c r="J928" s="13" t="str">
        <f ca="1">IFERROR(__xludf.DUMMYFUNCTION("IF(I924="""", """", RANK(I924, FILTER(I:I, I:I&lt;&gt;""""), 1))
"),"")</f>
        <v/>
      </c>
    </row>
    <row r="929" spans="1:10" ht="22.5" customHeight="1">
      <c r="A929" s="68"/>
      <c r="B929" s="20"/>
      <c r="C929" s="13"/>
      <c r="D929" s="13"/>
      <c r="E929" s="66"/>
      <c r="F929" s="67"/>
      <c r="G929" s="67"/>
      <c r="H929" s="20"/>
      <c r="I929" s="27"/>
      <c r="J929" s="20" t="str">
        <f ca="1">IFERROR(__xludf.DUMMYFUNCTION("IF(I925="""", """", RANK(I925, FILTER(I:I, I:I&lt;&gt;""""), 1))
"),"")</f>
        <v/>
      </c>
    </row>
    <row r="930" spans="1:10" ht="22.5" customHeight="1">
      <c r="A930" s="65"/>
      <c r="B930" s="13"/>
      <c r="C930" s="20"/>
      <c r="D930" s="20"/>
      <c r="E930" s="69"/>
      <c r="F930" s="70"/>
      <c r="G930" s="70"/>
      <c r="H930" s="13"/>
      <c r="I930" s="14"/>
      <c r="J930" s="13" t="str">
        <f ca="1">IFERROR(__xludf.DUMMYFUNCTION("IF(I926="""", """", RANK(I926, FILTER(I:I, I:I&lt;&gt;""""), 1))
"),"")</f>
        <v/>
      </c>
    </row>
    <row r="931" spans="1:10" ht="22.5" customHeight="1">
      <c r="A931" s="68"/>
      <c r="B931" s="20"/>
      <c r="C931" s="13"/>
      <c r="D931" s="13"/>
      <c r="E931" s="66"/>
      <c r="F931" s="67"/>
      <c r="G931" s="67"/>
      <c r="H931" s="20"/>
      <c r="I931" s="27"/>
      <c r="J931" s="20" t="str">
        <f ca="1">IFERROR(__xludf.DUMMYFUNCTION("IF(I927="""", """", RANK(I927, FILTER(I:I, I:I&lt;&gt;""""), 1))
"),"")</f>
        <v/>
      </c>
    </row>
    <row r="932" spans="1:10" ht="22.5" customHeight="1">
      <c r="A932" s="65"/>
      <c r="B932" s="13"/>
      <c r="C932" s="20"/>
      <c r="D932" s="20"/>
      <c r="E932" s="69"/>
      <c r="F932" s="70"/>
      <c r="G932" s="70"/>
      <c r="H932" s="13"/>
      <c r="I932" s="14"/>
      <c r="J932" s="13" t="str">
        <f ca="1">IFERROR(__xludf.DUMMYFUNCTION("IF(I928="""", """", RANK(I928, FILTER(I:I, I:I&lt;&gt;""""), 1))
"),"")</f>
        <v/>
      </c>
    </row>
    <row r="933" spans="1:10" ht="22.5" customHeight="1">
      <c r="A933" s="68"/>
      <c r="B933" s="20"/>
      <c r="C933" s="13"/>
      <c r="D933" s="13"/>
      <c r="E933" s="66"/>
      <c r="F933" s="67"/>
      <c r="G933" s="67"/>
      <c r="H933" s="20"/>
      <c r="I933" s="27"/>
      <c r="J933" s="20" t="str">
        <f ca="1">IFERROR(__xludf.DUMMYFUNCTION("IF(I929="""", """", RANK(I929, FILTER(I:I, I:I&lt;&gt;""""), 1))
"),"")</f>
        <v/>
      </c>
    </row>
    <row r="934" spans="1:10" ht="22.5" customHeight="1">
      <c r="A934" s="65"/>
      <c r="B934" s="13"/>
      <c r="C934" s="20"/>
      <c r="D934" s="20"/>
      <c r="E934" s="69"/>
      <c r="F934" s="70"/>
      <c r="G934" s="70"/>
      <c r="H934" s="13"/>
      <c r="I934" s="14"/>
      <c r="J934" s="13" t="str">
        <f ca="1">IFERROR(__xludf.DUMMYFUNCTION("IF(I930="""", """", RANK(I930, FILTER(I:I, I:I&lt;&gt;""""), 1))
"),"")</f>
        <v/>
      </c>
    </row>
    <row r="935" spans="1:10" ht="22.5" customHeight="1">
      <c r="A935" s="68"/>
      <c r="B935" s="20"/>
      <c r="C935" s="13"/>
      <c r="D935" s="13"/>
      <c r="E935" s="66"/>
      <c r="F935" s="67"/>
      <c r="G935" s="67"/>
      <c r="H935" s="20"/>
      <c r="I935" s="27"/>
      <c r="J935" s="20" t="str">
        <f ca="1">IFERROR(__xludf.DUMMYFUNCTION("IF(I931="""", """", RANK(I931, FILTER(I:I, I:I&lt;&gt;""""), 1))
"),"")</f>
        <v/>
      </c>
    </row>
    <row r="936" spans="1:10" ht="22.5" customHeight="1">
      <c r="A936" s="65"/>
      <c r="B936" s="13"/>
      <c r="C936" s="20"/>
      <c r="D936" s="20"/>
      <c r="E936" s="69"/>
      <c r="F936" s="70"/>
      <c r="G936" s="70"/>
      <c r="H936" s="13"/>
      <c r="I936" s="14"/>
      <c r="J936" s="13" t="str">
        <f ca="1">IFERROR(__xludf.DUMMYFUNCTION("IF(I932="""", """", RANK(I932, FILTER(I:I, I:I&lt;&gt;""""), 1))
"),"")</f>
        <v/>
      </c>
    </row>
    <row r="937" spans="1:10" ht="22.5" customHeight="1">
      <c r="A937" s="68"/>
      <c r="B937" s="20"/>
      <c r="C937" s="13"/>
      <c r="D937" s="13"/>
      <c r="E937" s="66"/>
      <c r="F937" s="67"/>
      <c r="G937" s="67"/>
      <c r="H937" s="20"/>
      <c r="I937" s="27"/>
      <c r="J937" s="20" t="str">
        <f ca="1">IFERROR(__xludf.DUMMYFUNCTION("IF(I933="""", """", RANK(I933, FILTER(I:I, I:I&lt;&gt;""""), 1))
"),"")</f>
        <v/>
      </c>
    </row>
    <row r="938" spans="1:10" ht="22.5" customHeight="1">
      <c r="A938" s="65"/>
      <c r="B938" s="13"/>
      <c r="C938" s="20"/>
      <c r="D938" s="20"/>
      <c r="E938" s="69"/>
      <c r="F938" s="70"/>
      <c r="G938" s="70"/>
      <c r="H938" s="13"/>
      <c r="I938" s="14"/>
      <c r="J938" s="13" t="str">
        <f ca="1">IFERROR(__xludf.DUMMYFUNCTION("IF(I934="""", """", RANK(I934, FILTER(I:I, I:I&lt;&gt;""""), 1))
"),"")</f>
        <v/>
      </c>
    </row>
    <row r="939" spans="1:10" ht="22.5" customHeight="1">
      <c r="A939" s="68"/>
      <c r="B939" s="20"/>
      <c r="C939" s="13"/>
      <c r="D939" s="13"/>
      <c r="E939" s="66"/>
      <c r="F939" s="67"/>
      <c r="G939" s="67"/>
      <c r="H939" s="20"/>
      <c r="I939" s="27"/>
      <c r="J939" s="20" t="str">
        <f ca="1">IFERROR(__xludf.DUMMYFUNCTION("IF(I935="""", """", RANK(I935, FILTER(I:I, I:I&lt;&gt;""""), 1))
"),"")</f>
        <v/>
      </c>
    </row>
    <row r="940" spans="1:10" ht="22.5" customHeight="1">
      <c r="A940" s="65"/>
      <c r="B940" s="13"/>
      <c r="C940" s="20"/>
      <c r="D940" s="20"/>
      <c r="E940" s="69"/>
      <c r="F940" s="70"/>
      <c r="G940" s="70"/>
      <c r="H940" s="13"/>
      <c r="I940" s="14"/>
      <c r="J940" s="13" t="str">
        <f ca="1">IFERROR(__xludf.DUMMYFUNCTION("IF(I936="""", """", RANK(I936, FILTER(I:I, I:I&lt;&gt;""""), 1))
"),"")</f>
        <v/>
      </c>
    </row>
    <row r="941" spans="1:10" ht="22.5" customHeight="1">
      <c r="A941" s="68"/>
      <c r="B941" s="20"/>
      <c r="C941" s="13"/>
      <c r="D941" s="13"/>
      <c r="E941" s="66"/>
      <c r="F941" s="67"/>
      <c r="G941" s="67"/>
      <c r="H941" s="20"/>
      <c r="I941" s="27"/>
      <c r="J941" s="20" t="str">
        <f ca="1">IFERROR(__xludf.DUMMYFUNCTION("IF(I937="""", """", RANK(I937, FILTER(I:I, I:I&lt;&gt;""""), 1))
"),"")</f>
        <v/>
      </c>
    </row>
    <row r="942" spans="1:10" ht="22.5" customHeight="1">
      <c r="A942" s="65"/>
      <c r="B942" s="13"/>
      <c r="C942" s="20"/>
      <c r="D942" s="20"/>
      <c r="E942" s="69"/>
      <c r="F942" s="70"/>
      <c r="G942" s="70"/>
      <c r="H942" s="13"/>
      <c r="I942" s="14"/>
      <c r="J942" s="13" t="str">
        <f ca="1">IFERROR(__xludf.DUMMYFUNCTION("IF(I938="""", """", RANK(I938, FILTER(I:I, I:I&lt;&gt;""""), 1))
"),"")</f>
        <v/>
      </c>
    </row>
    <row r="943" spans="1:10" ht="22.5" customHeight="1">
      <c r="A943" s="68"/>
      <c r="B943" s="20"/>
      <c r="C943" s="13"/>
      <c r="D943" s="13"/>
      <c r="E943" s="66"/>
      <c r="F943" s="67"/>
      <c r="G943" s="67"/>
      <c r="H943" s="20"/>
      <c r="I943" s="27"/>
      <c r="J943" s="20" t="str">
        <f ca="1">IFERROR(__xludf.DUMMYFUNCTION("IF(I939="""", """", RANK(I939, FILTER(I:I, I:I&lt;&gt;""""), 1))
"),"")</f>
        <v/>
      </c>
    </row>
    <row r="944" spans="1:10" ht="22.5" customHeight="1">
      <c r="A944" s="65"/>
      <c r="B944" s="13"/>
      <c r="C944" s="20"/>
      <c r="D944" s="20"/>
      <c r="E944" s="69"/>
      <c r="F944" s="70"/>
      <c r="G944" s="70"/>
      <c r="H944" s="13"/>
      <c r="I944" s="14"/>
      <c r="J944" s="13" t="str">
        <f ca="1">IFERROR(__xludf.DUMMYFUNCTION("IF(I940="""", """", RANK(I940, FILTER(I:I, I:I&lt;&gt;""""), 1))
"),"")</f>
        <v/>
      </c>
    </row>
    <row r="945" spans="1:10" ht="22.5" customHeight="1">
      <c r="A945" s="68"/>
      <c r="B945" s="20"/>
      <c r="C945" s="13"/>
      <c r="D945" s="13"/>
      <c r="E945" s="66"/>
      <c r="F945" s="67"/>
      <c r="G945" s="67"/>
      <c r="H945" s="20"/>
      <c r="I945" s="27"/>
      <c r="J945" s="20" t="str">
        <f ca="1">IFERROR(__xludf.DUMMYFUNCTION("IF(I941="""", """", RANK(I941, FILTER(I:I, I:I&lt;&gt;""""), 1))
"),"")</f>
        <v/>
      </c>
    </row>
    <row r="946" spans="1:10" ht="22.5" customHeight="1">
      <c r="A946" s="65"/>
      <c r="B946" s="13"/>
      <c r="C946" s="20"/>
      <c r="D946" s="20"/>
      <c r="E946" s="69"/>
      <c r="F946" s="70"/>
      <c r="G946" s="70"/>
      <c r="H946" s="13"/>
      <c r="I946" s="14"/>
      <c r="J946" s="13" t="str">
        <f ca="1">IFERROR(__xludf.DUMMYFUNCTION("IF(I942="""", """", RANK(I942, FILTER(I:I, I:I&lt;&gt;""""), 1))
"),"")</f>
        <v/>
      </c>
    </row>
    <row r="947" spans="1:10" ht="22.5" customHeight="1">
      <c r="A947" s="68"/>
      <c r="B947" s="20"/>
      <c r="C947" s="13"/>
      <c r="D947" s="13"/>
      <c r="E947" s="66"/>
      <c r="F947" s="67"/>
      <c r="G947" s="67"/>
      <c r="H947" s="20"/>
      <c r="I947" s="27"/>
      <c r="J947" s="20" t="str">
        <f ca="1">IFERROR(__xludf.DUMMYFUNCTION("IF(I943="""", """", RANK(I943, FILTER(I:I, I:I&lt;&gt;""""), 1))
"),"")</f>
        <v/>
      </c>
    </row>
    <row r="948" spans="1:10" ht="22.5" customHeight="1">
      <c r="A948" s="65"/>
      <c r="B948" s="13"/>
      <c r="C948" s="20"/>
      <c r="D948" s="20"/>
      <c r="E948" s="69"/>
      <c r="F948" s="70"/>
      <c r="G948" s="70"/>
      <c r="H948" s="13"/>
      <c r="I948" s="14"/>
      <c r="J948" s="13" t="str">
        <f ca="1">IFERROR(__xludf.DUMMYFUNCTION("IF(I944="""", """", RANK(I944, FILTER(I:I, I:I&lt;&gt;""""), 1))
"),"")</f>
        <v/>
      </c>
    </row>
    <row r="949" spans="1:10" ht="22.5" customHeight="1">
      <c r="A949" s="68"/>
      <c r="B949" s="20"/>
      <c r="C949" s="13"/>
      <c r="D949" s="13"/>
      <c r="E949" s="66"/>
      <c r="F949" s="67"/>
      <c r="G949" s="67"/>
      <c r="H949" s="20"/>
      <c r="I949" s="27"/>
      <c r="J949" s="20" t="str">
        <f ca="1">IFERROR(__xludf.DUMMYFUNCTION("IF(I945="""", """", RANK(I945, FILTER(I:I, I:I&lt;&gt;""""), 1))
"),"")</f>
        <v/>
      </c>
    </row>
    <row r="950" spans="1:10" ht="22.5" customHeight="1">
      <c r="A950" s="65"/>
      <c r="B950" s="13"/>
      <c r="C950" s="20"/>
      <c r="D950" s="20"/>
      <c r="E950" s="69"/>
      <c r="F950" s="70"/>
      <c r="G950" s="70"/>
      <c r="H950" s="13"/>
      <c r="I950" s="14"/>
      <c r="J950" s="13" t="str">
        <f ca="1">IFERROR(__xludf.DUMMYFUNCTION("IF(I946="""", """", RANK(I946, FILTER(I:I, I:I&lt;&gt;""""), 1))
"),"")</f>
        <v/>
      </c>
    </row>
    <row r="951" spans="1:10" ht="22.5" customHeight="1">
      <c r="A951" s="68"/>
      <c r="B951" s="20"/>
      <c r="C951" s="13"/>
      <c r="D951" s="13"/>
      <c r="E951" s="66"/>
      <c r="F951" s="67"/>
      <c r="G951" s="67"/>
      <c r="H951" s="20"/>
      <c r="I951" s="27"/>
      <c r="J951" s="20" t="str">
        <f ca="1">IFERROR(__xludf.DUMMYFUNCTION("IF(I947="""", """", RANK(I947, FILTER(I:I, I:I&lt;&gt;""""), 1))
"),"")</f>
        <v/>
      </c>
    </row>
    <row r="952" spans="1:10" ht="22.5" customHeight="1">
      <c r="A952" s="65"/>
      <c r="B952" s="13"/>
      <c r="C952" s="20"/>
      <c r="D952" s="20"/>
      <c r="E952" s="69"/>
      <c r="F952" s="70"/>
      <c r="G952" s="70"/>
      <c r="H952" s="13"/>
      <c r="I952" s="14"/>
      <c r="J952" s="13" t="str">
        <f ca="1">IFERROR(__xludf.DUMMYFUNCTION("IF(I948="""", """", RANK(I948, FILTER(I:I, I:I&lt;&gt;""""), 1))
"),"")</f>
        <v/>
      </c>
    </row>
    <row r="953" spans="1:10" ht="22.5" customHeight="1">
      <c r="A953" s="68"/>
      <c r="B953" s="20"/>
      <c r="C953" s="13"/>
      <c r="D953" s="13"/>
      <c r="E953" s="66"/>
      <c r="F953" s="67"/>
      <c r="G953" s="67"/>
      <c r="H953" s="20"/>
      <c r="I953" s="27"/>
      <c r="J953" s="20" t="str">
        <f ca="1">IFERROR(__xludf.DUMMYFUNCTION("IF(I949="""", """", RANK(I949, FILTER(I:I, I:I&lt;&gt;""""), 1))
"),"")</f>
        <v/>
      </c>
    </row>
    <row r="954" spans="1:10" ht="22.5" customHeight="1">
      <c r="A954" s="65"/>
      <c r="B954" s="13"/>
      <c r="C954" s="20"/>
      <c r="D954" s="20"/>
      <c r="E954" s="69"/>
      <c r="F954" s="70"/>
      <c r="G954" s="70"/>
      <c r="H954" s="13"/>
      <c r="I954" s="14"/>
      <c r="J954" s="13" t="str">
        <f ca="1">IFERROR(__xludf.DUMMYFUNCTION("IF(I950="""", """", RANK(I950, FILTER(I:I, I:I&lt;&gt;""""), 1))
"),"")</f>
        <v/>
      </c>
    </row>
    <row r="955" spans="1:10" ht="22.5" customHeight="1">
      <c r="A955" s="68"/>
      <c r="B955" s="20"/>
      <c r="C955" s="13"/>
      <c r="D955" s="13"/>
      <c r="E955" s="66"/>
      <c r="F955" s="67"/>
      <c r="G955" s="67"/>
      <c r="H955" s="20"/>
      <c r="I955" s="27"/>
      <c r="J955" s="20" t="str">
        <f ca="1">IFERROR(__xludf.DUMMYFUNCTION("IF(I951="""", """", RANK(I951, FILTER(I:I, I:I&lt;&gt;""""), 1))
"),"")</f>
        <v/>
      </c>
    </row>
    <row r="956" spans="1:10" ht="22.5" customHeight="1">
      <c r="A956" s="65"/>
      <c r="B956" s="13"/>
      <c r="C956" s="20"/>
      <c r="D956" s="20"/>
      <c r="E956" s="69"/>
      <c r="F956" s="70"/>
      <c r="G956" s="70"/>
      <c r="H956" s="13"/>
      <c r="I956" s="14"/>
      <c r="J956" s="13" t="str">
        <f ca="1">IFERROR(__xludf.DUMMYFUNCTION("IF(I952="""", """", RANK(I952, FILTER(I:I, I:I&lt;&gt;""""), 1))
"),"")</f>
        <v/>
      </c>
    </row>
    <row r="957" spans="1:10" ht="22.5" customHeight="1">
      <c r="A957" s="68"/>
      <c r="B957" s="20"/>
      <c r="C957" s="13"/>
      <c r="D957" s="13"/>
      <c r="E957" s="66"/>
      <c r="F957" s="67"/>
      <c r="G957" s="67"/>
      <c r="H957" s="20"/>
      <c r="I957" s="27"/>
      <c r="J957" s="20" t="str">
        <f ca="1">IFERROR(__xludf.DUMMYFUNCTION("IF(I953="""", """", RANK(I953, FILTER(I:I, I:I&lt;&gt;""""), 1))
"),"")</f>
        <v/>
      </c>
    </row>
    <row r="958" spans="1:10" ht="22.5" customHeight="1">
      <c r="A958" s="65"/>
      <c r="B958" s="13"/>
      <c r="C958" s="20"/>
      <c r="D958" s="20"/>
      <c r="E958" s="69"/>
      <c r="F958" s="70"/>
      <c r="G958" s="70"/>
      <c r="H958" s="13"/>
      <c r="I958" s="14"/>
      <c r="J958" s="13" t="str">
        <f ca="1">IFERROR(__xludf.DUMMYFUNCTION("IF(I954="""", """", RANK(I954, FILTER(I:I, I:I&lt;&gt;""""), 1))
"),"")</f>
        <v/>
      </c>
    </row>
    <row r="959" spans="1:10" ht="22.5" customHeight="1">
      <c r="A959" s="68"/>
      <c r="B959" s="20"/>
      <c r="C959" s="13"/>
      <c r="D959" s="13"/>
      <c r="E959" s="66"/>
      <c r="F959" s="67"/>
      <c r="G959" s="67"/>
      <c r="H959" s="20"/>
      <c r="I959" s="27"/>
      <c r="J959" s="20" t="str">
        <f ca="1">IFERROR(__xludf.DUMMYFUNCTION("IF(I955="""", """", RANK(I955, FILTER(I:I, I:I&lt;&gt;""""), 1))
"),"")</f>
        <v/>
      </c>
    </row>
    <row r="960" spans="1:10" ht="22.5" customHeight="1">
      <c r="A960" s="65"/>
      <c r="B960" s="13"/>
      <c r="C960" s="20"/>
      <c r="D960" s="20"/>
      <c r="E960" s="69"/>
      <c r="F960" s="70"/>
      <c r="G960" s="70"/>
      <c r="H960" s="13"/>
      <c r="I960" s="14"/>
      <c r="J960" s="13" t="str">
        <f ca="1">IFERROR(__xludf.DUMMYFUNCTION("IF(I956="""", """", RANK(I956, FILTER(I:I, I:I&lt;&gt;""""), 1))
"),"")</f>
        <v/>
      </c>
    </row>
    <row r="961" spans="1:10" ht="22.5" customHeight="1">
      <c r="A961" s="68"/>
      <c r="B961" s="20"/>
      <c r="C961" s="13"/>
      <c r="D961" s="13"/>
      <c r="E961" s="66"/>
      <c r="F961" s="67"/>
      <c r="G961" s="67"/>
      <c r="H961" s="20"/>
      <c r="I961" s="27"/>
      <c r="J961" s="20" t="str">
        <f ca="1">IFERROR(__xludf.DUMMYFUNCTION("IF(I957="""", """", RANK(I957, FILTER(I:I, I:I&lt;&gt;""""), 1))
"),"")</f>
        <v/>
      </c>
    </row>
    <row r="962" spans="1:10" ht="22.5" customHeight="1">
      <c r="A962" s="65"/>
      <c r="B962" s="13"/>
      <c r="C962" s="20"/>
      <c r="D962" s="20"/>
      <c r="E962" s="69"/>
      <c r="F962" s="70"/>
      <c r="G962" s="70"/>
      <c r="H962" s="13"/>
      <c r="I962" s="14"/>
      <c r="J962" s="13" t="str">
        <f ca="1">IFERROR(__xludf.DUMMYFUNCTION("IF(I958="""", """", RANK(I958, FILTER(I:I, I:I&lt;&gt;""""), 1))
"),"")</f>
        <v/>
      </c>
    </row>
    <row r="963" spans="1:10" ht="22.5" customHeight="1">
      <c r="A963" s="68"/>
      <c r="B963" s="20"/>
      <c r="C963" s="13"/>
      <c r="D963" s="13"/>
      <c r="E963" s="66"/>
      <c r="F963" s="67"/>
      <c r="G963" s="67"/>
      <c r="H963" s="20"/>
      <c r="I963" s="27"/>
      <c r="J963" s="20" t="str">
        <f ca="1">IFERROR(__xludf.DUMMYFUNCTION("IF(I959="""", """", RANK(I959, FILTER(I:I, I:I&lt;&gt;""""), 1))
"),"")</f>
        <v/>
      </c>
    </row>
    <row r="964" spans="1:10" ht="22.5" customHeight="1">
      <c r="A964" s="65"/>
      <c r="B964" s="13"/>
      <c r="C964" s="20"/>
      <c r="D964" s="20"/>
      <c r="E964" s="69"/>
      <c r="F964" s="70"/>
      <c r="G964" s="70"/>
      <c r="H964" s="13"/>
      <c r="I964" s="14"/>
      <c r="J964" s="13" t="str">
        <f ca="1">IFERROR(__xludf.DUMMYFUNCTION("IF(I960="""", """", RANK(I960, FILTER(I:I, I:I&lt;&gt;""""), 1))
"),"")</f>
        <v/>
      </c>
    </row>
    <row r="965" spans="1:10" ht="22.5" customHeight="1">
      <c r="A965" s="68"/>
      <c r="B965" s="20"/>
      <c r="C965" s="13"/>
      <c r="D965" s="13"/>
      <c r="E965" s="66"/>
      <c r="F965" s="67"/>
      <c r="G965" s="67"/>
      <c r="H965" s="20"/>
      <c r="I965" s="27"/>
      <c r="J965" s="20" t="str">
        <f ca="1">IFERROR(__xludf.DUMMYFUNCTION("IF(I961="""", """", RANK(I961, FILTER(I:I, I:I&lt;&gt;""""), 1))
"),"")</f>
        <v/>
      </c>
    </row>
    <row r="966" spans="1:10" ht="22.5" customHeight="1">
      <c r="A966" s="65"/>
      <c r="B966" s="13"/>
      <c r="C966" s="20"/>
      <c r="D966" s="20"/>
      <c r="E966" s="69"/>
      <c r="F966" s="70"/>
      <c r="G966" s="70"/>
      <c r="H966" s="13"/>
      <c r="I966" s="14"/>
      <c r="J966" s="13" t="str">
        <f ca="1">IFERROR(__xludf.DUMMYFUNCTION("IF(I962="""", """", RANK(I962, FILTER(I:I, I:I&lt;&gt;""""), 1))
"),"")</f>
        <v/>
      </c>
    </row>
    <row r="967" spans="1:10" ht="22.5" customHeight="1">
      <c r="A967" s="68"/>
      <c r="B967" s="20"/>
      <c r="C967" s="13"/>
      <c r="D967" s="13"/>
      <c r="E967" s="66"/>
      <c r="F967" s="67"/>
      <c r="G967" s="67"/>
      <c r="H967" s="20"/>
      <c r="I967" s="27"/>
      <c r="J967" s="20" t="str">
        <f ca="1">IFERROR(__xludf.DUMMYFUNCTION("IF(I963="""", """", RANK(I963, FILTER(I:I, I:I&lt;&gt;""""), 1))
"),"")</f>
        <v/>
      </c>
    </row>
    <row r="968" spans="1:10" ht="22.5" customHeight="1">
      <c r="A968" s="65"/>
      <c r="B968" s="13"/>
      <c r="C968" s="20"/>
      <c r="D968" s="20"/>
      <c r="E968" s="69"/>
      <c r="F968" s="70"/>
      <c r="G968" s="70"/>
      <c r="H968" s="13"/>
      <c r="I968" s="14"/>
      <c r="J968" s="13" t="str">
        <f ca="1">IFERROR(__xludf.DUMMYFUNCTION("IF(I964="""", """", RANK(I964, FILTER(I:I, I:I&lt;&gt;""""), 1))
"),"")</f>
        <v/>
      </c>
    </row>
    <row r="969" spans="1:10" ht="22.5" customHeight="1">
      <c r="A969" s="68"/>
      <c r="B969" s="20"/>
      <c r="C969" s="13"/>
      <c r="D969" s="13"/>
      <c r="E969" s="66"/>
      <c r="F969" s="67"/>
      <c r="G969" s="67"/>
      <c r="H969" s="20"/>
      <c r="I969" s="27"/>
      <c r="J969" s="20" t="str">
        <f ca="1">IFERROR(__xludf.DUMMYFUNCTION("IF(I965="""", """", RANK(I965, FILTER(I:I, I:I&lt;&gt;""""), 1))
"),"")</f>
        <v/>
      </c>
    </row>
    <row r="970" spans="1:10" ht="22.5" customHeight="1">
      <c r="A970" s="65"/>
      <c r="B970" s="13"/>
      <c r="C970" s="20"/>
      <c r="D970" s="20"/>
      <c r="E970" s="69"/>
      <c r="F970" s="70"/>
      <c r="G970" s="70"/>
      <c r="H970" s="13"/>
      <c r="I970" s="14"/>
      <c r="J970" s="13" t="str">
        <f ca="1">IFERROR(__xludf.DUMMYFUNCTION("IF(I966="""", """", RANK(I966, FILTER(I:I, I:I&lt;&gt;""""), 1))
"),"")</f>
        <v/>
      </c>
    </row>
    <row r="971" spans="1:10" ht="22.5" customHeight="1">
      <c r="A971" s="68"/>
      <c r="B971" s="20"/>
      <c r="C971" s="13"/>
      <c r="D971" s="13"/>
      <c r="E971" s="66"/>
      <c r="F971" s="67"/>
      <c r="G971" s="67"/>
      <c r="H971" s="20"/>
      <c r="I971" s="27"/>
      <c r="J971" s="20" t="str">
        <f ca="1">IFERROR(__xludf.DUMMYFUNCTION("IF(I967="""", """", RANK(I967, FILTER(I:I, I:I&lt;&gt;""""), 1))
"),"")</f>
        <v/>
      </c>
    </row>
    <row r="972" spans="1:10" ht="22.5" customHeight="1">
      <c r="A972" s="65"/>
      <c r="B972" s="13"/>
      <c r="C972" s="20"/>
      <c r="D972" s="20"/>
      <c r="E972" s="69"/>
      <c r="F972" s="70"/>
      <c r="G972" s="70"/>
      <c r="H972" s="13"/>
      <c r="I972" s="14"/>
      <c r="J972" s="13" t="str">
        <f ca="1">IFERROR(__xludf.DUMMYFUNCTION("IF(I968="""", """", RANK(I968, FILTER(I:I, I:I&lt;&gt;""""), 1))
"),"")</f>
        <v/>
      </c>
    </row>
    <row r="973" spans="1:10" ht="22.5" customHeight="1">
      <c r="A973" s="68"/>
      <c r="B973" s="20"/>
      <c r="C973" s="13"/>
      <c r="D973" s="13"/>
      <c r="E973" s="66"/>
      <c r="F973" s="67"/>
      <c r="G973" s="67"/>
      <c r="H973" s="20"/>
      <c r="I973" s="27"/>
      <c r="J973" s="20" t="str">
        <f ca="1">IFERROR(__xludf.DUMMYFUNCTION("IF(I969="""", """", RANK(I969, FILTER(I:I, I:I&lt;&gt;""""), 1))
"),"")</f>
        <v/>
      </c>
    </row>
    <row r="974" spans="1:10" ht="22.5" customHeight="1">
      <c r="A974" s="65"/>
      <c r="B974" s="13"/>
      <c r="C974" s="20"/>
      <c r="D974" s="20"/>
      <c r="E974" s="69"/>
      <c r="F974" s="70"/>
      <c r="G974" s="70"/>
      <c r="H974" s="13"/>
      <c r="I974" s="14"/>
      <c r="J974" s="13" t="str">
        <f ca="1">IFERROR(__xludf.DUMMYFUNCTION("IF(I970="""", """", RANK(I970, FILTER(I:I, I:I&lt;&gt;""""), 1))
"),"")</f>
        <v/>
      </c>
    </row>
    <row r="975" spans="1:10" ht="22.5" customHeight="1">
      <c r="A975" s="68"/>
      <c r="B975" s="20"/>
      <c r="C975" s="13"/>
      <c r="D975" s="13"/>
      <c r="E975" s="66"/>
      <c r="F975" s="67"/>
      <c r="G975" s="67"/>
      <c r="H975" s="20"/>
      <c r="I975" s="27"/>
      <c r="J975" s="20" t="str">
        <f ca="1">IFERROR(__xludf.DUMMYFUNCTION("IF(I971="""", """", RANK(I971, FILTER(I:I, I:I&lt;&gt;""""), 1))
"),"")</f>
        <v/>
      </c>
    </row>
    <row r="976" spans="1:10" ht="22.5" customHeight="1">
      <c r="A976" s="65"/>
      <c r="B976" s="13"/>
      <c r="C976" s="20"/>
      <c r="D976" s="20"/>
      <c r="E976" s="69"/>
      <c r="F976" s="70"/>
      <c r="G976" s="70"/>
      <c r="H976" s="13"/>
      <c r="I976" s="14"/>
      <c r="J976" s="13" t="str">
        <f ca="1">IFERROR(__xludf.DUMMYFUNCTION("IF(I972="""", """", RANK(I972, FILTER(I:I, I:I&lt;&gt;""""), 1))
"),"")</f>
        <v/>
      </c>
    </row>
    <row r="977" spans="1:10" ht="22.5" customHeight="1">
      <c r="A977" s="68"/>
      <c r="B977" s="20"/>
      <c r="C977" s="13"/>
      <c r="D977" s="13"/>
      <c r="E977" s="66"/>
      <c r="F977" s="67"/>
      <c r="G977" s="67"/>
      <c r="H977" s="20"/>
      <c r="I977" s="27"/>
      <c r="J977" s="20" t="str">
        <f ca="1">IFERROR(__xludf.DUMMYFUNCTION("IF(I973="""", """", RANK(I973, FILTER(I:I, I:I&lt;&gt;""""), 1))
"),"")</f>
        <v/>
      </c>
    </row>
    <row r="978" spans="1:10" ht="22.5" customHeight="1">
      <c r="A978" s="65"/>
      <c r="B978" s="13"/>
      <c r="C978" s="20"/>
      <c r="D978" s="20"/>
      <c r="E978" s="69"/>
      <c r="F978" s="70"/>
      <c r="G978" s="70"/>
      <c r="H978" s="13"/>
      <c r="I978" s="14"/>
      <c r="J978" s="13" t="str">
        <f ca="1">IFERROR(__xludf.DUMMYFUNCTION("IF(I974="""", """", RANK(I974, FILTER(I:I, I:I&lt;&gt;""""), 1))
"),"")</f>
        <v/>
      </c>
    </row>
    <row r="979" spans="1:10" ht="22.5" customHeight="1">
      <c r="A979" s="68"/>
      <c r="B979" s="20"/>
      <c r="C979" s="13"/>
      <c r="D979" s="13"/>
      <c r="E979" s="66"/>
      <c r="F979" s="67"/>
      <c r="G979" s="67"/>
      <c r="H979" s="20"/>
      <c r="I979" s="27"/>
      <c r="J979" s="20" t="str">
        <f ca="1">IFERROR(__xludf.DUMMYFUNCTION("IF(I975="""", """", RANK(I975, FILTER(I:I, I:I&lt;&gt;""""), 1))
"),"")</f>
        <v/>
      </c>
    </row>
    <row r="980" spans="1:10" ht="22.5" customHeight="1">
      <c r="A980" s="65"/>
      <c r="B980" s="13"/>
      <c r="C980" s="20"/>
      <c r="D980" s="20"/>
      <c r="E980" s="69"/>
      <c r="F980" s="70"/>
      <c r="G980" s="70"/>
      <c r="H980" s="13"/>
      <c r="I980" s="14"/>
      <c r="J980" s="13" t="str">
        <f ca="1">IFERROR(__xludf.DUMMYFUNCTION("IF(I976="""", """", RANK(I976, FILTER(I:I, I:I&lt;&gt;""""), 1))
"),"")</f>
        <v/>
      </c>
    </row>
    <row r="981" spans="1:10" ht="22.5" customHeight="1">
      <c r="A981" s="68"/>
      <c r="B981" s="20"/>
      <c r="C981" s="13"/>
      <c r="D981" s="13"/>
      <c r="E981" s="66"/>
      <c r="F981" s="67"/>
      <c r="G981" s="67"/>
      <c r="H981" s="20"/>
      <c r="I981" s="27"/>
      <c r="J981" s="20" t="str">
        <f ca="1">IFERROR(__xludf.DUMMYFUNCTION("IF(I977="""", """", RANK(I977, FILTER(I:I, I:I&lt;&gt;""""), 1))
"),"")</f>
        <v/>
      </c>
    </row>
    <row r="982" spans="1:10" ht="22.5" customHeight="1">
      <c r="A982" s="65"/>
      <c r="B982" s="13"/>
      <c r="C982" s="20"/>
      <c r="D982" s="20"/>
      <c r="E982" s="69"/>
      <c r="F982" s="70"/>
      <c r="G982" s="70"/>
      <c r="H982" s="13"/>
      <c r="I982" s="14"/>
      <c r="J982" s="13" t="str">
        <f ca="1">IFERROR(__xludf.DUMMYFUNCTION("IF(I978="""", """", RANK(I978, FILTER(I:I, I:I&lt;&gt;""""), 1))
"),"")</f>
        <v/>
      </c>
    </row>
    <row r="983" spans="1:10" ht="22.5" customHeight="1">
      <c r="A983" s="68"/>
      <c r="B983" s="20"/>
      <c r="C983" s="13"/>
      <c r="D983" s="13"/>
      <c r="E983" s="66"/>
      <c r="F983" s="67"/>
      <c r="G983" s="67"/>
      <c r="H983" s="20"/>
      <c r="I983" s="27"/>
      <c r="J983" s="20" t="str">
        <f ca="1">IFERROR(__xludf.DUMMYFUNCTION("IF(I979="""", """", RANK(I979, FILTER(I:I, I:I&lt;&gt;""""), 1))
"),"")</f>
        <v/>
      </c>
    </row>
    <row r="984" spans="1:10" ht="22.5" customHeight="1">
      <c r="A984" s="65"/>
      <c r="B984" s="13"/>
      <c r="C984" s="20"/>
      <c r="D984" s="20"/>
      <c r="E984" s="69"/>
      <c r="F984" s="70"/>
      <c r="G984" s="70"/>
      <c r="H984" s="13"/>
      <c r="I984" s="14"/>
      <c r="J984" s="13" t="str">
        <f ca="1">IFERROR(__xludf.DUMMYFUNCTION("IF(I980="""", """", RANK(I980, FILTER(I:I, I:I&lt;&gt;""""), 1))
"),"")</f>
        <v/>
      </c>
    </row>
    <row r="985" spans="1:10" ht="22.5" customHeight="1">
      <c r="A985" s="68"/>
      <c r="B985" s="20"/>
      <c r="C985" s="13"/>
      <c r="D985" s="13"/>
      <c r="E985" s="66"/>
      <c r="F985" s="67"/>
      <c r="G985" s="67"/>
      <c r="H985" s="20"/>
      <c r="I985" s="27"/>
      <c r="J985" s="20" t="str">
        <f ca="1">IFERROR(__xludf.DUMMYFUNCTION("IF(I981="""", """", RANK(I981, FILTER(I:I, I:I&lt;&gt;""""), 1))
"),"")</f>
        <v/>
      </c>
    </row>
    <row r="986" spans="1:10" ht="22.5" customHeight="1">
      <c r="A986" s="65"/>
      <c r="B986" s="13"/>
      <c r="C986" s="20"/>
      <c r="D986" s="20"/>
      <c r="E986" s="69"/>
      <c r="F986" s="70"/>
      <c r="G986" s="70"/>
      <c r="H986" s="13"/>
      <c r="I986" s="14"/>
      <c r="J986" s="13" t="str">
        <f ca="1">IFERROR(__xludf.DUMMYFUNCTION("IF(I982="""", """", RANK(I982, FILTER(I:I, I:I&lt;&gt;""""), 1))
"),"")</f>
        <v/>
      </c>
    </row>
    <row r="987" spans="1:10" ht="22.5" customHeight="1">
      <c r="A987" s="68"/>
      <c r="B987" s="20"/>
      <c r="C987" s="13"/>
      <c r="D987" s="13"/>
      <c r="E987" s="66"/>
      <c r="F987" s="67"/>
      <c r="G987" s="67"/>
      <c r="H987" s="20"/>
      <c r="I987" s="27"/>
      <c r="J987" s="20" t="str">
        <f ca="1">IFERROR(__xludf.DUMMYFUNCTION("IF(I983="""", """", RANK(I983, FILTER(I:I, I:I&lt;&gt;""""), 1))
"),"")</f>
        <v/>
      </c>
    </row>
    <row r="988" spans="1:10" ht="22.5" customHeight="1">
      <c r="A988" s="65"/>
      <c r="B988" s="13"/>
      <c r="C988" s="20"/>
      <c r="D988" s="20"/>
      <c r="E988" s="69"/>
      <c r="F988" s="70"/>
      <c r="G988" s="70"/>
      <c r="H988" s="13"/>
      <c r="I988" s="14"/>
      <c r="J988" s="13" t="str">
        <f ca="1">IFERROR(__xludf.DUMMYFUNCTION("IF(I984="""", """", RANK(I984, FILTER(I:I, I:I&lt;&gt;""""), 1))
"),"")</f>
        <v/>
      </c>
    </row>
    <row r="989" spans="1:10" ht="22.5" customHeight="1">
      <c r="A989" s="68"/>
      <c r="B989" s="20"/>
      <c r="C989" s="13"/>
      <c r="D989" s="13"/>
      <c r="E989" s="66"/>
      <c r="F989" s="67"/>
      <c r="G989" s="67"/>
      <c r="H989" s="20"/>
      <c r="I989" s="27"/>
      <c r="J989" s="20" t="str">
        <f ca="1">IFERROR(__xludf.DUMMYFUNCTION("IF(I985="""", """", RANK(I985, FILTER(I:I, I:I&lt;&gt;""""), 1))
"),"")</f>
        <v/>
      </c>
    </row>
    <row r="990" spans="1:10" ht="22.5" customHeight="1">
      <c r="A990" s="65"/>
      <c r="B990" s="13"/>
      <c r="C990" s="20"/>
      <c r="D990" s="20"/>
      <c r="E990" s="69"/>
      <c r="F990" s="70"/>
      <c r="G990" s="70"/>
      <c r="H990" s="13"/>
      <c r="I990" s="14"/>
      <c r="J990" s="13" t="str">
        <f ca="1">IFERROR(__xludf.DUMMYFUNCTION("IF(I986="""", """", RANK(I986, FILTER(I:I, I:I&lt;&gt;""""), 1))
"),"")</f>
        <v/>
      </c>
    </row>
    <row r="991" spans="1:10" ht="22.5" customHeight="1">
      <c r="A991" s="68"/>
      <c r="B991" s="20"/>
      <c r="C991" s="13"/>
      <c r="D991" s="13"/>
      <c r="E991" s="66"/>
      <c r="F991" s="67"/>
      <c r="G991" s="67"/>
      <c r="H991" s="20"/>
      <c r="I991" s="27"/>
      <c r="J991" s="20" t="str">
        <f ca="1">IFERROR(__xludf.DUMMYFUNCTION("IF(I987="""", """", RANK(I987, FILTER(I:I, I:I&lt;&gt;""""), 1))
"),"")</f>
        <v/>
      </c>
    </row>
    <row r="992" spans="1:10" ht="22.5" customHeight="1">
      <c r="A992" s="65"/>
      <c r="B992" s="13"/>
      <c r="C992" s="20"/>
      <c r="D992" s="20"/>
      <c r="E992" s="69"/>
      <c r="F992" s="70"/>
      <c r="G992" s="70"/>
      <c r="H992" s="13"/>
      <c r="I992" s="14"/>
      <c r="J992" s="13" t="str">
        <f ca="1">IFERROR(__xludf.DUMMYFUNCTION("IF(I988="""", """", RANK(I988, FILTER(I:I, I:I&lt;&gt;""""), 1))
"),"")</f>
        <v/>
      </c>
    </row>
    <row r="993" spans="1:10" ht="22.5" customHeight="1">
      <c r="A993" s="68"/>
      <c r="B993" s="20"/>
      <c r="C993" s="13"/>
      <c r="D993" s="13"/>
      <c r="E993" s="66"/>
      <c r="F993" s="67"/>
      <c r="G993" s="67"/>
      <c r="H993" s="20"/>
      <c r="I993" s="27"/>
      <c r="J993" s="20" t="str">
        <f ca="1">IFERROR(__xludf.DUMMYFUNCTION("IF(I989="""", """", RANK(I989, FILTER(I:I, I:I&lt;&gt;""""), 1))
"),"")</f>
        <v/>
      </c>
    </row>
    <row r="994" spans="1:10" ht="22.5" customHeight="1">
      <c r="A994" s="65"/>
      <c r="B994" s="13"/>
      <c r="C994" s="20"/>
      <c r="D994" s="20"/>
      <c r="E994" s="69"/>
      <c r="F994" s="70"/>
      <c r="G994" s="70"/>
      <c r="H994" s="13"/>
      <c r="I994" s="14"/>
      <c r="J994" s="13" t="str">
        <f ca="1">IFERROR(__xludf.DUMMYFUNCTION("IF(I990="""", """", RANK(I990, FILTER(I:I, I:I&lt;&gt;""""), 1))
"),"")</f>
        <v/>
      </c>
    </row>
    <row r="995" spans="1:10" ht="22.5" customHeight="1">
      <c r="A995" s="68"/>
      <c r="B995" s="20"/>
      <c r="C995" s="13"/>
      <c r="D995" s="13"/>
      <c r="E995" s="66"/>
      <c r="F995" s="67"/>
      <c r="G995" s="67"/>
      <c r="H995" s="20"/>
      <c r="I995" s="27"/>
      <c r="J995" s="20" t="str">
        <f ca="1">IFERROR(__xludf.DUMMYFUNCTION("IF(I991="""", """", RANK(I991, FILTER(I:I, I:I&lt;&gt;""""), 1))
"),"")</f>
        <v/>
      </c>
    </row>
    <row r="996" spans="1:10" ht="22.5" customHeight="1">
      <c r="A996" s="65"/>
      <c r="B996" s="13"/>
      <c r="C996" s="20"/>
      <c r="D996" s="20"/>
      <c r="E996" s="69"/>
      <c r="F996" s="70"/>
      <c r="G996" s="70"/>
      <c r="H996" s="13"/>
      <c r="I996" s="14"/>
      <c r="J996" s="13" t="str">
        <f ca="1">IFERROR(__xludf.DUMMYFUNCTION("IF(I992="""", """", RANK(I992, FILTER(I:I, I:I&lt;&gt;""""), 1))
"),"")</f>
        <v/>
      </c>
    </row>
    <row r="997" spans="1:10" ht="22.5" customHeight="1">
      <c r="A997" s="68"/>
      <c r="B997" s="20"/>
      <c r="C997" s="13"/>
      <c r="D997" s="13"/>
      <c r="E997" s="66"/>
      <c r="F997" s="67"/>
      <c r="G997" s="67"/>
      <c r="H997" s="20"/>
      <c r="I997" s="27"/>
      <c r="J997" s="20" t="str">
        <f ca="1">IFERROR(__xludf.DUMMYFUNCTION("IF(I993="""", """", RANK(I993, FILTER(I:I, I:I&lt;&gt;""""), 1))
"),"")</f>
        <v/>
      </c>
    </row>
    <row r="998" spans="1:10" ht="22.5" customHeight="1">
      <c r="A998" s="65"/>
      <c r="B998" s="13"/>
      <c r="C998" s="20"/>
      <c r="D998" s="20"/>
      <c r="E998" s="69"/>
      <c r="F998" s="70"/>
      <c r="G998" s="70"/>
      <c r="H998" s="13"/>
      <c r="I998" s="14"/>
      <c r="J998" s="13" t="str">
        <f ca="1">IFERROR(__xludf.DUMMYFUNCTION("IF(I994="""", """", RANK(I994, FILTER(I:I, I:I&lt;&gt;""""), 1))
"),"")</f>
        <v/>
      </c>
    </row>
    <row r="999" spans="1:10" ht="22.5" customHeight="1">
      <c r="A999" s="68"/>
      <c r="B999" s="20"/>
      <c r="C999" s="13"/>
      <c r="D999" s="13"/>
      <c r="E999" s="66"/>
      <c r="F999" s="67"/>
      <c r="G999" s="67"/>
      <c r="H999" s="20"/>
      <c r="I999" s="27"/>
      <c r="J999" s="20" t="str">
        <f ca="1">IFERROR(__xludf.DUMMYFUNCTION("IF(I995="""", """", RANK(I995, FILTER(I:I, I:I&lt;&gt;""""), 1))
"),"")</f>
        <v/>
      </c>
    </row>
    <row r="1000" spans="1:10" ht="22.5" customHeight="1">
      <c r="A1000" s="65"/>
      <c r="B1000" s="13"/>
      <c r="C1000" s="20"/>
      <c r="D1000" s="20"/>
      <c r="E1000" s="69"/>
      <c r="F1000" s="70"/>
      <c r="G1000" s="70"/>
      <c r="H1000" s="13"/>
      <c r="I1000" s="14"/>
      <c r="J1000" s="13" t="str">
        <f ca="1">IFERROR(__xludf.DUMMYFUNCTION("IF(I996="""", """", RANK(I996, FILTER(I:I, I:I&lt;&gt;""""), 1))
"),"")</f>
        <v/>
      </c>
    </row>
    <row r="1001" spans="1:10" ht="22.5" customHeight="1">
      <c r="A1001" s="68"/>
      <c r="B1001" s="20"/>
      <c r="C1001" s="13"/>
      <c r="D1001" s="13"/>
      <c r="E1001" s="66"/>
      <c r="F1001" s="67"/>
      <c r="G1001" s="67"/>
      <c r="H1001" s="20"/>
      <c r="I1001" s="27"/>
      <c r="J1001" s="20" t="str">
        <f ca="1">IFERROR(__xludf.DUMMYFUNCTION("IF(I997="""", """", RANK(I997, FILTER(I:I, I:I&lt;&gt;""""), 1))
"),"")</f>
        <v/>
      </c>
    </row>
    <row r="1002" spans="1:10" ht="22.5" customHeight="1">
      <c r="A1002" s="65"/>
      <c r="B1002" s="13"/>
      <c r="C1002" s="20"/>
      <c r="D1002" s="20"/>
      <c r="E1002" s="69"/>
      <c r="F1002" s="70"/>
      <c r="G1002" s="70"/>
      <c r="H1002" s="13"/>
      <c r="I1002" s="14"/>
      <c r="J1002" s="13" t="str">
        <f ca="1">IFERROR(__xludf.DUMMYFUNCTION("IF(I998="""", """", RANK(I998, FILTER(I:I, I:I&lt;&gt;""""), 1))
"),"")</f>
        <v/>
      </c>
    </row>
    <row r="1003" spans="1:10" ht="22.5" customHeight="1">
      <c r="A1003" s="68"/>
      <c r="B1003" s="20"/>
      <c r="C1003" s="13"/>
      <c r="D1003" s="13"/>
      <c r="E1003" s="66"/>
      <c r="F1003" s="67"/>
      <c r="G1003" s="67"/>
      <c r="H1003" s="20"/>
      <c r="I1003" s="27"/>
      <c r="J1003" s="20" t="str">
        <f ca="1">IFERROR(__xludf.DUMMYFUNCTION("IF(I999="""", """", RANK(I999, FILTER(I:I, I:I&lt;&gt;""""), 1))
"),"")</f>
        <v/>
      </c>
    </row>
    <row r="1004" spans="1:10" ht="22.5" customHeight="1">
      <c r="A1004" s="65"/>
      <c r="B1004" s="13"/>
      <c r="C1004" s="20"/>
      <c r="D1004" s="20"/>
      <c r="E1004" s="69"/>
      <c r="F1004" s="70"/>
      <c r="G1004" s="70"/>
      <c r="H1004" s="13"/>
      <c r="I1004" s="14"/>
      <c r="J1004" s="13" t="str">
        <f ca="1">IFERROR(__xludf.DUMMYFUNCTION("IF(I1000="""", """", RANK(I1000, FILTER(I:I, I:I&lt;&gt;""""), 1))
"),"")</f>
        <v/>
      </c>
    </row>
    <row r="1005" spans="1:10" ht="22.5" customHeight="1">
      <c r="A1005" s="68"/>
      <c r="B1005" s="20"/>
      <c r="C1005" s="13"/>
      <c r="D1005" s="13"/>
      <c r="E1005" s="66"/>
      <c r="F1005" s="67"/>
      <c r="G1005" s="67"/>
      <c r="H1005" s="20"/>
      <c r="I1005" s="27"/>
      <c r="J1005" s="20" t="str">
        <f ca="1">IFERROR(__xludf.DUMMYFUNCTION("IF(I1001="""", """", RANK(I1001, FILTER(I:I, I:I&lt;&gt;""""), 1))
"),"")</f>
        <v/>
      </c>
    </row>
    <row r="1006" spans="1:10" ht="22.5" customHeight="1">
      <c r="A1006" s="65"/>
      <c r="B1006" s="13"/>
      <c r="C1006" s="20"/>
      <c r="D1006" s="20"/>
      <c r="E1006" s="69"/>
      <c r="F1006" s="70"/>
      <c r="G1006" s="70"/>
      <c r="H1006" s="13"/>
      <c r="I1006" s="14"/>
      <c r="J1006" s="13" t="str">
        <f ca="1">IFERROR(__xludf.DUMMYFUNCTION("IF(I1002="""", """", RANK(I1002, FILTER(I:I, I:I&lt;&gt;""""), 1))
"),"")</f>
        <v/>
      </c>
    </row>
    <row r="1007" spans="1:10" ht="22.5" customHeight="1">
      <c r="A1007" s="68"/>
      <c r="B1007" s="20"/>
      <c r="C1007" s="13"/>
      <c r="D1007" s="13"/>
      <c r="E1007" s="66"/>
      <c r="F1007" s="67"/>
      <c r="G1007" s="67"/>
      <c r="H1007" s="20"/>
      <c r="I1007" s="27"/>
      <c r="J1007" s="20" t="str">
        <f ca="1">IFERROR(__xludf.DUMMYFUNCTION("IF(I1003="""", """", RANK(I1003, FILTER(I:I, I:I&lt;&gt;""""), 1))
"),"")</f>
        <v/>
      </c>
    </row>
    <row r="1008" spans="1:10" ht="22.5" customHeight="1">
      <c r="A1008" s="65"/>
      <c r="B1008" s="13"/>
      <c r="C1008" s="20"/>
      <c r="D1008" s="20"/>
      <c r="E1008" s="69"/>
      <c r="F1008" s="70"/>
      <c r="G1008" s="70"/>
      <c r="H1008" s="13"/>
      <c r="I1008" s="14"/>
      <c r="J1008" s="13" t="str">
        <f ca="1">IFERROR(__xludf.DUMMYFUNCTION("IF(I1004="""", """", RANK(I1004, FILTER(I:I, I:I&lt;&gt;""""), 1))
"),"")</f>
        <v/>
      </c>
    </row>
    <row r="1009" spans="1:10" ht="22.5" customHeight="1">
      <c r="A1009" s="68"/>
      <c r="B1009" s="20"/>
      <c r="C1009" s="13"/>
      <c r="D1009" s="13"/>
      <c r="E1009" s="66"/>
      <c r="F1009" s="67"/>
      <c r="G1009" s="67"/>
      <c r="H1009" s="20"/>
      <c r="I1009" s="27"/>
      <c r="J1009" s="20" t="str">
        <f ca="1">IFERROR(__xludf.DUMMYFUNCTION("IF(I1005="""", """", RANK(I1005, FILTER(I:I, I:I&lt;&gt;""""), 1))
"),"")</f>
        <v/>
      </c>
    </row>
    <row r="1010" spans="1:10" ht="22.5" customHeight="1">
      <c r="A1010" s="65"/>
      <c r="B1010" s="13"/>
      <c r="C1010" s="20"/>
      <c r="D1010" s="20"/>
      <c r="E1010" s="69"/>
      <c r="F1010" s="70"/>
      <c r="G1010" s="70"/>
      <c r="H1010" s="13"/>
      <c r="I1010" s="14"/>
      <c r="J1010" s="13" t="str">
        <f ca="1">IFERROR(__xludf.DUMMYFUNCTION("IF(I1006="""", """", RANK(I1006, FILTER(I:I, I:I&lt;&gt;""""), 1))
"),"")</f>
        <v/>
      </c>
    </row>
    <row r="1011" spans="1:10" ht="22.5" customHeight="1">
      <c r="A1011" s="68"/>
      <c r="B1011" s="20"/>
      <c r="C1011" s="13"/>
      <c r="D1011" s="13"/>
      <c r="E1011" s="66"/>
      <c r="F1011" s="67"/>
      <c r="G1011" s="67"/>
      <c r="H1011" s="20"/>
      <c r="I1011" s="27"/>
      <c r="J1011" s="20" t="str">
        <f ca="1">IFERROR(__xludf.DUMMYFUNCTION("IF(I1007="""", """", RANK(I1007, FILTER(I:I, I:I&lt;&gt;""""), 1))
"),"")</f>
        <v/>
      </c>
    </row>
    <row r="1012" spans="1:10" ht="22.5" customHeight="1">
      <c r="A1012" s="65"/>
      <c r="B1012" s="13"/>
      <c r="C1012" s="20"/>
      <c r="D1012" s="20"/>
      <c r="E1012" s="69"/>
      <c r="F1012" s="70"/>
      <c r="G1012" s="70"/>
      <c r="H1012" s="13"/>
      <c r="I1012" s="14"/>
      <c r="J1012" s="13" t="str">
        <f ca="1">IFERROR(__xludf.DUMMYFUNCTION("IF(I1008="""", """", RANK(I1008, FILTER(I:I, I:I&lt;&gt;""""), 1))
"),"")</f>
        <v/>
      </c>
    </row>
    <row r="1013" spans="1:10" ht="22.5" customHeight="1">
      <c r="A1013" s="68"/>
      <c r="B1013" s="20"/>
      <c r="C1013" s="13"/>
      <c r="D1013" s="13"/>
      <c r="E1013" s="66"/>
      <c r="F1013" s="67"/>
      <c r="G1013" s="67"/>
      <c r="H1013" s="20"/>
      <c r="I1013" s="27"/>
      <c r="J1013" s="20" t="str">
        <f ca="1">IFERROR(__xludf.DUMMYFUNCTION("IF(I1009="""", """", RANK(I1009, FILTER(I:I, I:I&lt;&gt;""""), 1))
"),"")</f>
        <v/>
      </c>
    </row>
    <row r="1014" spans="1:10" ht="22.5" customHeight="1">
      <c r="A1014" s="65"/>
      <c r="B1014" s="13"/>
      <c r="C1014" s="20"/>
      <c r="D1014" s="20"/>
      <c r="E1014" s="69"/>
      <c r="F1014" s="70"/>
      <c r="G1014" s="70"/>
      <c r="H1014" s="13"/>
      <c r="I1014" s="14"/>
      <c r="J1014" s="13" t="str">
        <f ca="1">IFERROR(__xludf.DUMMYFUNCTION("IF(I1010="""", """", RANK(I1010, FILTER(I:I, I:I&lt;&gt;""""), 1))
"),"")</f>
        <v/>
      </c>
    </row>
    <row r="1015" spans="1:10" ht="22.5" customHeight="1">
      <c r="A1015" s="68"/>
      <c r="B1015" s="20"/>
      <c r="C1015" s="13"/>
      <c r="D1015" s="13"/>
      <c r="E1015" s="66"/>
      <c r="F1015" s="67"/>
      <c r="G1015" s="67"/>
      <c r="H1015" s="20"/>
      <c r="I1015" s="27"/>
      <c r="J1015" s="20" t="str">
        <f ca="1">IFERROR(__xludf.DUMMYFUNCTION("IF(I1011="""", """", RANK(I1011, FILTER(I:I, I:I&lt;&gt;""""), 1))
"),"")</f>
        <v/>
      </c>
    </row>
    <row r="1016" spans="1:10" ht="22.5" customHeight="1">
      <c r="A1016" s="65"/>
      <c r="B1016" s="13"/>
      <c r="C1016" s="20"/>
      <c r="D1016" s="20"/>
      <c r="E1016" s="69"/>
      <c r="F1016" s="70"/>
      <c r="G1016" s="70"/>
      <c r="H1016" s="13"/>
      <c r="I1016" s="14"/>
      <c r="J1016" s="13" t="str">
        <f ca="1">IFERROR(__xludf.DUMMYFUNCTION("IF(I1012="""", """", RANK(I1012, FILTER(I:I, I:I&lt;&gt;""""), 1))
"),"")</f>
        <v/>
      </c>
    </row>
    <row r="1017" spans="1:10" ht="22.5" customHeight="1">
      <c r="A1017" s="68"/>
      <c r="B1017" s="20"/>
      <c r="C1017" s="13"/>
      <c r="D1017" s="13"/>
      <c r="E1017" s="66"/>
      <c r="F1017" s="67"/>
      <c r="G1017" s="67"/>
      <c r="H1017" s="20"/>
      <c r="I1017" s="27"/>
      <c r="J1017" s="20" t="str">
        <f ca="1">IFERROR(__xludf.DUMMYFUNCTION("IF(I1013="""", """", RANK(I1013, FILTER(I:I, I:I&lt;&gt;""""), 1))
"),"")</f>
        <v/>
      </c>
    </row>
    <row r="1018" spans="1:10" ht="22.5" customHeight="1">
      <c r="A1018" s="65"/>
      <c r="B1018" s="13"/>
      <c r="C1018" s="20"/>
      <c r="D1018" s="20"/>
      <c r="E1018" s="69"/>
      <c r="F1018" s="70"/>
      <c r="G1018" s="70"/>
      <c r="H1018" s="13"/>
      <c r="I1018" s="14"/>
      <c r="J1018" s="13" t="str">
        <f ca="1">IFERROR(__xludf.DUMMYFUNCTION("IF(I1014="""", """", RANK(I1014, FILTER(I:I, I:I&lt;&gt;""""), 1))
"),"")</f>
        <v/>
      </c>
    </row>
    <row r="1019" spans="1:10" ht="22.5" customHeight="1">
      <c r="A1019" s="68"/>
      <c r="B1019" s="20"/>
      <c r="C1019" s="13"/>
      <c r="D1019" s="13"/>
      <c r="E1019" s="66"/>
      <c r="F1019" s="67"/>
      <c r="G1019" s="67"/>
      <c r="H1019" s="20"/>
      <c r="I1019" s="27"/>
      <c r="J1019" s="20" t="str">
        <f ca="1">IFERROR(__xludf.DUMMYFUNCTION("IF(I1015="""", """", RANK(I1015, FILTER(I:I, I:I&lt;&gt;""""), 1))
"),"")</f>
        <v/>
      </c>
    </row>
    <row r="1020" spans="1:10" ht="22.5" customHeight="1">
      <c r="A1020" s="65"/>
      <c r="B1020" s="13"/>
      <c r="C1020" s="20"/>
      <c r="D1020" s="20"/>
      <c r="E1020" s="69"/>
      <c r="F1020" s="70"/>
      <c r="G1020" s="70"/>
      <c r="H1020" s="13"/>
      <c r="I1020" s="14"/>
      <c r="J1020" s="13" t="str">
        <f ca="1">IFERROR(__xludf.DUMMYFUNCTION("IF(I1016="""", """", RANK(I1016, FILTER(I:I, I:I&lt;&gt;""""), 1))
"),"")</f>
        <v/>
      </c>
    </row>
    <row r="1021" spans="1:10" ht="22.5" customHeight="1">
      <c r="A1021" s="68"/>
      <c r="B1021" s="20"/>
      <c r="C1021" s="13"/>
      <c r="D1021" s="13"/>
      <c r="E1021" s="66"/>
      <c r="F1021" s="67"/>
      <c r="G1021" s="67"/>
      <c r="H1021" s="20"/>
      <c r="I1021" s="27"/>
      <c r="J1021" s="20" t="str">
        <f ca="1">IFERROR(__xludf.DUMMYFUNCTION("IF(I1017="""", """", RANK(I1017, FILTER(I:I, I:I&lt;&gt;""""), 1))
"),"")</f>
        <v/>
      </c>
    </row>
    <row r="1022" spans="1:10" ht="22.5" customHeight="1">
      <c r="A1022" s="65"/>
      <c r="B1022" s="13"/>
      <c r="C1022" s="20"/>
      <c r="D1022" s="20"/>
      <c r="E1022" s="69"/>
      <c r="F1022" s="70"/>
      <c r="G1022" s="70"/>
      <c r="H1022" s="13"/>
      <c r="I1022" s="14"/>
      <c r="J1022" s="13" t="str">
        <f ca="1">IFERROR(__xludf.DUMMYFUNCTION("IF(I1018="""", """", RANK(I1018, FILTER(I:I, I:I&lt;&gt;""""), 1))
"),"")</f>
        <v/>
      </c>
    </row>
    <row r="1023" spans="1:10" ht="22.5" customHeight="1">
      <c r="A1023" s="68"/>
      <c r="B1023" s="20"/>
      <c r="C1023" s="13"/>
      <c r="D1023" s="13"/>
      <c r="E1023" s="66"/>
      <c r="F1023" s="67"/>
      <c r="G1023" s="67"/>
      <c r="H1023" s="20"/>
      <c r="I1023" s="27"/>
      <c r="J1023" s="20" t="str">
        <f ca="1">IFERROR(__xludf.DUMMYFUNCTION("IF(I1019="""", """", RANK(I1019, FILTER(I:I, I:I&lt;&gt;""""), 1))
"),"")</f>
        <v/>
      </c>
    </row>
    <row r="1024" spans="1:10" ht="22.5" customHeight="1">
      <c r="A1024" s="65"/>
      <c r="B1024" s="13"/>
      <c r="C1024" s="20"/>
      <c r="D1024" s="20"/>
      <c r="E1024" s="69"/>
      <c r="F1024" s="70"/>
      <c r="G1024" s="70"/>
      <c r="H1024" s="13"/>
      <c r="I1024" s="14"/>
      <c r="J1024" s="13" t="str">
        <f ca="1">IFERROR(__xludf.DUMMYFUNCTION("IF(I1020="""", """", RANK(I1020, FILTER(I:I, I:I&lt;&gt;""""), 1))
"),"")</f>
        <v/>
      </c>
    </row>
    <row r="1025" spans="1:10" ht="22.5" customHeight="1">
      <c r="A1025" s="68"/>
      <c r="B1025" s="20"/>
      <c r="C1025" s="13"/>
      <c r="D1025" s="13"/>
      <c r="E1025" s="66"/>
      <c r="F1025" s="67"/>
      <c r="G1025" s="67"/>
      <c r="H1025" s="20"/>
      <c r="I1025" s="27"/>
      <c r="J1025" s="20" t="str">
        <f ca="1">IFERROR(__xludf.DUMMYFUNCTION("IF(I1021="""", """", RANK(I1021, FILTER(I:I, I:I&lt;&gt;""""), 1))
"),"")</f>
        <v/>
      </c>
    </row>
    <row r="1026" spans="1:10" ht="22.5" customHeight="1">
      <c r="A1026" s="65"/>
      <c r="B1026" s="13"/>
      <c r="C1026" s="20"/>
      <c r="D1026" s="20"/>
      <c r="E1026" s="69"/>
      <c r="F1026" s="70"/>
      <c r="G1026" s="70"/>
      <c r="H1026" s="13"/>
      <c r="I1026" s="14"/>
      <c r="J1026" s="13" t="str">
        <f ca="1">IFERROR(__xludf.DUMMYFUNCTION("IF(I1022="""", """", RANK(I1022, FILTER(I:I, I:I&lt;&gt;""""), 1))
"),"")</f>
        <v/>
      </c>
    </row>
    <row r="1027" spans="1:10" ht="22.5" customHeight="1">
      <c r="A1027" s="68"/>
      <c r="B1027" s="20"/>
      <c r="C1027" s="13"/>
      <c r="D1027" s="13"/>
      <c r="E1027" s="66"/>
      <c r="F1027" s="67"/>
      <c r="G1027" s="67"/>
      <c r="H1027" s="20"/>
      <c r="I1027" s="27"/>
      <c r="J1027" s="20" t="str">
        <f ca="1">IFERROR(__xludf.DUMMYFUNCTION("IF(I1023="""", """", RANK(I1023, FILTER(I:I, I:I&lt;&gt;""""), 1))
"),"")</f>
        <v/>
      </c>
    </row>
    <row r="1028" spans="1:10" ht="22.5" customHeight="1">
      <c r="A1028" s="65"/>
      <c r="B1028" s="13"/>
      <c r="C1028" s="20"/>
      <c r="D1028" s="20"/>
      <c r="E1028" s="69"/>
      <c r="F1028" s="70"/>
      <c r="G1028" s="70"/>
      <c r="H1028" s="13"/>
      <c r="I1028" s="14"/>
      <c r="J1028" s="13" t="str">
        <f ca="1">IFERROR(__xludf.DUMMYFUNCTION("IF(I1024="""", """", RANK(I1024, FILTER(I:I, I:I&lt;&gt;""""), 1))
"),"")</f>
        <v/>
      </c>
    </row>
    <row r="1029" spans="1:10" ht="22.5" customHeight="1">
      <c r="A1029" s="68"/>
      <c r="B1029" s="20"/>
      <c r="C1029" s="13"/>
      <c r="D1029" s="13"/>
      <c r="E1029" s="66"/>
      <c r="F1029" s="67"/>
      <c r="G1029" s="67"/>
      <c r="H1029" s="20"/>
      <c r="I1029" s="27"/>
      <c r="J1029" s="20" t="str">
        <f ca="1">IFERROR(__xludf.DUMMYFUNCTION("IF(I1025="""", """", RANK(I1025, FILTER(I:I, I:I&lt;&gt;""""), 1))
"),"")</f>
        <v/>
      </c>
    </row>
    <row r="1030" spans="1:10" ht="22.5" customHeight="1">
      <c r="A1030" s="65"/>
      <c r="B1030" s="13"/>
      <c r="C1030" s="20"/>
      <c r="D1030" s="20"/>
      <c r="E1030" s="69"/>
      <c r="F1030" s="70"/>
      <c r="G1030" s="70"/>
      <c r="H1030" s="13"/>
      <c r="I1030" s="14"/>
      <c r="J1030" s="13" t="str">
        <f ca="1">IFERROR(__xludf.DUMMYFUNCTION("IF(I1026="""", """", RANK(I1026, FILTER(I:I, I:I&lt;&gt;""""), 1))
"),"")</f>
        <v/>
      </c>
    </row>
    <row r="1031" spans="1:10" ht="22.5" customHeight="1">
      <c r="A1031" s="68"/>
      <c r="B1031" s="20"/>
      <c r="C1031" s="13"/>
      <c r="D1031" s="13"/>
      <c r="E1031" s="66"/>
      <c r="F1031" s="67"/>
      <c r="G1031" s="67"/>
      <c r="H1031" s="20"/>
      <c r="I1031" s="27"/>
      <c r="J1031" s="20" t="str">
        <f ca="1">IFERROR(__xludf.DUMMYFUNCTION("IF(I1027="""", """", RANK(I1027, FILTER(I:I, I:I&lt;&gt;""""), 1))
"),"")</f>
        <v/>
      </c>
    </row>
    <row r="1032" spans="1:10" ht="22.5" customHeight="1">
      <c r="A1032" s="65"/>
      <c r="B1032" s="13"/>
      <c r="C1032" s="20"/>
      <c r="D1032" s="20"/>
      <c r="E1032" s="69"/>
      <c r="F1032" s="70"/>
      <c r="G1032" s="70"/>
      <c r="H1032" s="13"/>
      <c r="I1032" s="14"/>
      <c r="J1032" s="13" t="str">
        <f ca="1">IFERROR(__xludf.DUMMYFUNCTION("IF(I1028="""", """", RANK(I1028, FILTER(I:I, I:I&lt;&gt;""""), 1))
"),"")</f>
        <v/>
      </c>
    </row>
    <row r="1033" spans="1:10" ht="22.5" customHeight="1">
      <c r="A1033" s="68"/>
      <c r="B1033" s="20"/>
      <c r="C1033" s="13"/>
      <c r="D1033" s="13"/>
      <c r="E1033" s="66"/>
      <c r="F1033" s="67"/>
      <c r="G1033" s="67"/>
      <c r="H1033" s="20"/>
      <c r="I1033" s="27"/>
      <c r="J1033" s="20" t="str">
        <f ca="1">IFERROR(__xludf.DUMMYFUNCTION("IF(I1029="""", """", RANK(I1029, FILTER(I:I, I:I&lt;&gt;""""), 1))
"),"")</f>
        <v/>
      </c>
    </row>
    <row r="1034" spans="1:10" ht="22.5" customHeight="1">
      <c r="A1034" s="65"/>
      <c r="B1034" s="13"/>
      <c r="C1034" s="20"/>
      <c r="D1034" s="20"/>
      <c r="E1034" s="69"/>
      <c r="F1034" s="70"/>
      <c r="G1034" s="70"/>
      <c r="H1034" s="13"/>
      <c r="I1034" s="14"/>
      <c r="J1034" s="13" t="str">
        <f ca="1">IFERROR(__xludf.DUMMYFUNCTION("IF(I1030="""", """", RANK(I1030, FILTER(I:I, I:I&lt;&gt;""""), 1))
"),"")</f>
        <v/>
      </c>
    </row>
    <row r="1035" spans="1:10" ht="22.5" customHeight="1">
      <c r="A1035" s="68"/>
      <c r="B1035" s="20"/>
      <c r="C1035" s="13"/>
      <c r="D1035" s="13"/>
      <c r="E1035" s="66"/>
      <c r="F1035" s="67"/>
      <c r="G1035" s="67"/>
      <c r="H1035" s="20"/>
      <c r="I1035" s="27"/>
      <c r="J1035" s="20" t="str">
        <f ca="1">IFERROR(__xludf.DUMMYFUNCTION("IF(I1031="""", """", RANK(I1031, FILTER(I:I, I:I&lt;&gt;""""), 1))
"),"")</f>
        <v/>
      </c>
    </row>
    <row r="1036" spans="1:10" ht="22.5" customHeight="1">
      <c r="A1036" s="65"/>
      <c r="B1036" s="13"/>
      <c r="C1036" s="20"/>
      <c r="D1036" s="20"/>
      <c r="E1036" s="69"/>
      <c r="F1036" s="70"/>
      <c r="G1036" s="70"/>
      <c r="H1036" s="13"/>
      <c r="I1036" s="14"/>
      <c r="J1036" s="13" t="str">
        <f ca="1">IFERROR(__xludf.DUMMYFUNCTION("IF(I1032="""", """", RANK(I1032, FILTER(I:I, I:I&lt;&gt;""""), 1))
"),"")</f>
        <v/>
      </c>
    </row>
    <row r="1037" spans="1:10" ht="22.5" customHeight="1">
      <c r="A1037" s="68"/>
      <c r="B1037" s="20"/>
      <c r="C1037" s="13"/>
      <c r="D1037" s="13"/>
      <c r="E1037" s="66"/>
      <c r="F1037" s="67"/>
      <c r="G1037" s="67"/>
      <c r="H1037" s="20"/>
      <c r="I1037" s="27"/>
      <c r="J1037" s="20" t="str">
        <f ca="1">IFERROR(__xludf.DUMMYFUNCTION("IF(I1033="""", """", RANK(I1033, FILTER(I:I, I:I&lt;&gt;""""), 1))
"),"")</f>
        <v/>
      </c>
    </row>
    <row r="1038" spans="1:10" ht="22.5" customHeight="1">
      <c r="A1038" s="65"/>
      <c r="B1038" s="13"/>
      <c r="C1038" s="20"/>
      <c r="D1038" s="20"/>
      <c r="E1038" s="69"/>
      <c r="F1038" s="70"/>
      <c r="G1038" s="70"/>
      <c r="H1038" s="13"/>
      <c r="I1038" s="14"/>
      <c r="J1038" s="13" t="str">
        <f ca="1">IFERROR(__xludf.DUMMYFUNCTION("IF(I1034="""", """", RANK(I1034, FILTER(I:I, I:I&lt;&gt;""""), 1))
"),"")</f>
        <v/>
      </c>
    </row>
    <row r="1039" spans="1:10" ht="22.5" customHeight="1">
      <c r="A1039" s="68"/>
      <c r="B1039" s="20"/>
      <c r="C1039" s="13"/>
      <c r="D1039" s="13"/>
      <c r="E1039" s="66"/>
      <c r="F1039" s="67"/>
      <c r="G1039" s="67"/>
      <c r="H1039" s="20"/>
      <c r="I1039" s="27"/>
      <c r="J1039" s="20" t="str">
        <f ca="1">IFERROR(__xludf.DUMMYFUNCTION("IF(I1035="""", """", RANK(I1035, FILTER(I:I, I:I&lt;&gt;""""), 1))
"),"")</f>
        <v/>
      </c>
    </row>
    <row r="1040" spans="1:10" ht="22.5" customHeight="1">
      <c r="A1040" s="65"/>
      <c r="B1040" s="13"/>
      <c r="C1040" s="20"/>
      <c r="D1040" s="20"/>
      <c r="E1040" s="69"/>
      <c r="F1040" s="70"/>
      <c r="G1040" s="70"/>
      <c r="H1040" s="13"/>
      <c r="I1040" s="14"/>
      <c r="J1040" s="13" t="str">
        <f ca="1">IFERROR(__xludf.DUMMYFUNCTION("IF(I1036="""", """", RANK(I1036, FILTER(I:I, I:I&lt;&gt;""""), 1))
"),"")</f>
        <v/>
      </c>
    </row>
    <row r="1041" spans="1:10" ht="22.5" customHeight="1">
      <c r="A1041" s="68"/>
      <c r="B1041" s="20"/>
      <c r="C1041" s="13"/>
      <c r="D1041" s="13"/>
      <c r="E1041" s="66"/>
      <c r="F1041" s="67"/>
      <c r="G1041" s="67"/>
      <c r="H1041" s="20"/>
      <c r="I1041" s="27"/>
      <c r="J1041" s="20" t="str">
        <f ca="1">IFERROR(__xludf.DUMMYFUNCTION("IF(I1037="""", """", RANK(I1037, FILTER(I:I, I:I&lt;&gt;""""), 1))
"),"")</f>
        <v/>
      </c>
    </row>
    <row r="1042" spans="1:10" ht="22.5" customHeight="1">
      <c r="A1042" s="65"/>
      <c r="B1042" s="13"/>
      <c r="C1042" s="20"/>
      <c r="D1042" s="20"/>
      <c r="E1042" s="69"/>
      <c r="F1042" s="70"/>
      <c r="G1042" s="70"/>
      <c r="H1042" s="13"/>
      <c r="I1042" s="14"/>
      <c r="J1042" s="13" t="str">
        <f ca="1">IFERROR(__xludf.DUMMYFUNCTION("IF(I1038="""", """", RANK(I1038, FILTER(I:I, I:I&lt;&gt;""""), 1))
"),"")</f>
        <v/>
      </c>
    </row>
    <row r="1043" spans="1:10" ht="22.5" customHeight="1">
      <c r="A1043" s="68"/>
      <c r="B1043" s="20"/>
      <c r="C1043" s="13"/>
      <c r="D1043" s="13"/>
      <c r="E1043" s="66"/>
      <c r="F1043" s="67"/>
      <c r="G1043" s="67"/>
      <c r="H1043" s="71"/>
      <c r="I1043" s="72"/>
      <c r="J1043" s="71" t="str">
        <f ca="1">IFERROR(__xludf.DUMMYFUNCTION("IF(I1039="""", """", RANK(I1039, FILTER(I:I, I:I&lt;&gt;""""), 1))
"),"")</f>
        <v/>
      </c>
    </row>
    <row r="1044" spans="1:10" ht="22.5" customHeight="1">
      <c r="A1044" s="65"/>
      <c r="B1044" s="13"/>
      <c r="C1044" s="71"/>
      <c r="D1044" s="71"/>
      <c r="E1044" s="73"/>
      <c r="F1044" s="70"/>
      <c r="G1044" s="70"/>
      <c r="H1044" s="70"/>
      <c r="I1044" s="70"/>
      <c r="J1044" s="70"/>
    </row>
    <row r="1045" spans="1:10" ht="22.5" customHeight="1">
      <c r="A1045" s="74"/>
      <c r="B1045" s="71"/>
      <c r="C1045" s="70"/>
      <c r="D1045" s="70"/>
      <c r="E1045" s="70"/>
      <c r="F1045" s="70"/>
      <c r="G1045" s="70"/>
      <c r="H1045" s="70"/>
      <c r="I1045" s="70"/>
      <c r="J1045" s="70"/>
    </row>
    <row r="1046" spans="1:10" ht="22.5" customHeight="1">
      <c r="A1046" s="67"/>
      <c r="B1046" s="67"/>
      <c r="C1046" s="67"/>
      <c r="D1046" s="67"/>
      <c r="E1046" s="67"/>
      <c r="F1046" s="67"/>
      <c r="G1046" s="67"/>
      <c r="H1046" s="67"/>
      <c r="I1046" s="67"/>
      <c r="J1046" s="67"/>
    </row>
    <row r="1047" spans="1:10" ht="22.5" customHeight="1">
      <c r="A1047" s="70"/>
      <c r="B1047" s="70"/>
      <c r="C1047" s="70"/>
      <c r="D1047" s="70"/>
      <c r="E1047" s="70"/>
      <c r="F1047" s="70"/>
      <c r="G1047" s="70"/>
      <c r="H1047" s="70"/>
      <c r="I1047" s="70"/>
      <c r="J1047" s="70"/>
    </row>
    <row r="1048" spans="1:10" ht="22.5" customHeight="1">
      <c r="A1048" s="67"/>
      <c r="B1048" s="67"/>
      <c r="C1048" s="67"/>
      <c r="D1048" s="67"/>
      <c r="E1048" s="67"/>
      <c r="F1048" s="67"/>
      <c r="G1048" s="67"/>
      <c r="H1048" s="67"/>
      <c r="I1048" s="67"/>
      <c r="J1048" s="67"/>
    </row>
    <row r="1049" spans="1:10" ht="22.5" customHeight="1">
      <c r="A1049" s="70"/>
      <c r="B1049" s="70"/>
      <c r="C1049" s="70"/>
      <c r="D1049" s="70"/>
      <c r="E1049" s="70"/>
      <c r="F1049" s="70"/>
      <c r="G1049" s="70"/>
      <c r="H1049" s="70"/>
      <c r="I1049" s="70"/>
      <c r="J1049" s="70"/>
    </row>
    <row r="1050" spans="1:10" ht="22.5" customHeight="1">
      <c r="A1050" s="67"/>
      <c r="B1050" s="67"/>
      <c r="C1050" s="67"/>
      <c r="D1050" s="67"/>
      <c r="E1050" s="67"/>
      <c r="F1050" s="67"/>
      <c r="G1050" s="67"/>
      <c r="H1050" s="67"/>
      <c r="I1050" s="67"/>
      <c r="J1050" s="67"/>
    </row>
    <row r="1051" spans="1:10" ht="22.5" customHeight="1">
      <c r="A1051" s="70"/>
      <c r="B1051" s="70"/>
      <c r="C1051" s="70"/>
      <c r="D1051" s="70"/>
      <c r="E1051" s="70"/>
      <c r="F1051" s="70"/>
      <c r="G1051" s="70"/>
      <c r="H1051" s="70"/>
      <c r="I1051" s="70"/>
      <c r="J1051" s="70"/>
    </row>
    <row r="1052" spans="1:10" ht="22.5" customHeight="1">
      <c r="A1052" s="67"/>
      <c r="B1052" s="67"/>
      <c r="C1052" s="67"/>
      <c r="D1052" s="67"/>
      <c r="E1052" s="67"/>
      <c r="F1052" s="67"/>
      <c r="G1052" s="67"/>
      <c r="H1052" s="67"/>
      <c r="I1052" s="67"/>
      <c r="J1052" s="67"/>
    </row>
    <row r="1053" spans="1:10" ht="22.5" customHeight="1">
      <c r="A1053" s="70"/>
      <c r="B1053" s="70"/>
      <c r="C1053" s="70"/>
      <c r="D1053" s="70"/>
      <c r="E1053" s="70"/>
      <c r="F1053" s="70"/>
      <c r="G1053" s="70"/>
      <c r="H1053" s="70"/>
      <c r="I1053" s="70"/>
      <c r="J1053" s="70"/>
    </row>
    <row r="1054" spans="1:10" ht="22.5" customHeight="1">
      <c r="A1054" s="67"/>
      <c r="B1054" s="67"/>
      <c r="C1054" s="67"/>
      <c r="D1054" s="67"/>
      <c r="E1054" s="67"/>
      <c r="F1054" s="67"/>
      <c r="G1054" s="67"/>
      <c r="H1054" s="67"/>
      <c r="I1054" s="67"/>
      <c r="J1054" s="67"/>
    </row>
    <row r="1055" spans="1:10" ht="22.5" customHeight="1">
      <c r="A1055" s="70"/>
      <c r="B1055" s="70"/>
      <c r="C1055" s="70"/>
      <c r="D1055" s="70"/>
      <c r="E1055" s="70"/>
      <c r="F1055" s="70"/>
      <c r="G1055" s="70"/>
      <c r="H1055" s="70"/>
      <c r="I1055" s="70"/>
      <c r="J1055" s="70"/>
    </row>
  </sheetData>
  <hyperlinks>
    <hyperlink ref="H13" r:id="rId1" xr:uid="{00000000-0004-0000-0000-000000000000}"/>
    <hyperlink ref="H16" r:id="rId2" xr:uid="{00000000-0004-0000-0000-000001000000}"/>
    <hyperlink ref="H21" r:id="rId3" xr:uid="{00000000-0004-0000-0000-000002000000}"/>
    <hyperlink ref="H30" r:id="rId4" xr:uid="{00000000-0004-0000-0000-000003000000}"/>
    <hyperlink ref="H31" r:id="rId5" xr:uid="{00000000-0004-0000-0000-000004000000}"/>
    <hyperlink ref="H32" r:id="rId6" xr:uid="{00000000-0004-0000-0000-000005000000}"/>
    <hyperlink ref="H41" r:id="rId7" xr:uid="{00000000-0004-0000-0000-000006000000}"/>
    <hyperlink ref="H43" r:id="rId8" xr:uid="{00000000-0004-0000-0000-000007000000}"/>
    <hyperlink ref="H44" r:id="rId9" xr:uid="{00000000-0004-0000-0000-000008000000}"/>
    <hyperlink ref="H46" r:id="rId10" xr:uid="{00000000-0004-0000-0000-000009000000}"/>
    <hyperlink ref="H48" r:id="rId11" xr:uid="{00000000-0004-0000-0000-00000A000000}"/>
    <hyperlink ref="H51" r:id="rId12" xr:uid="{00000000-0004-0000-0000-00000B000000}"/>
    <hyperlink ref="H60" r:id="rId13" xr:uid="{00000000-0004-0000-0000-00000C000000}"/>
    <hyperlink ref="H62" r:id="rId14" xr:uid="{00000000-0004-0000-0000-00000D000000}"/>
    <hyperlink ref="H63" r:id="rId15" xr:uid="{00000000-0004-0000-0000-00000E000000}"/>
    <hyperlink ref="H73" r:id="rId16" xr:uid="{00000000-0004-0000-0000-00000F000000}"/>
    <hyperlink ref="H78" r:id="rId17" xr:uid="{00000000-0004-0000-0000-000010000000}"/>
    <hyperlink ref="H88" r:id="rId18" xr:uid="{00000000-0004-0000-0000-000011000000}"/>
    <hyperlink ref="H90" r:id="rId19" xr:uid="{00000000-0004-0000-0000-000012000000}"/>
    <hyperlink ref="H98" r:id="rId20" xr:uid="{00000000-0004-0000-0000-000013000000}"/>
    <hyperlink ref="H100" r:id="rId21" xr:uid="{00000000-0004-0000-0000-000014000000}"/>
    <hyperlink ref="H102" r:id="rId22" xr:uid="{00000000-0004-0000-0000-000015000000}"/>
    <hyperlink ref="H113" r:id="rId23" xr:uid="{00000000-0004-0000-0000-000016000000}"/>
    <hyperlink ref="H120" r:id="rId24" xr:uid="{00000000-0004-0000-0000-000017000000}"/>
    <hyperlink ref="H127" r:id="rId25" xr:uid="{00000000-0004-0000-0000-000018000000}"/>
    <hyperlink ref="H128" r:id="rId26" xr:uid="{00000000-0004-0000-0000-000019000000}"/>
    <hyperlink ref="H131" r:id="rId27" xr:uid="{00000000-0004-0000-0000-00001A000000}"/>
    <hyperlink ref="H133" r:id="rId28" xr:uid="{00000000-0004-0000-0000-00001B000000}"/>
    <hyperlink ref="H138" r:id="rId29" xr:uid="{00000000-0004-0000-0000-00001C000000}"/>
    <hyperlink ref="H142" r:id="rId30" xr:uid="{00000000-0004-0000-0000-00001D000000}"/>
    <hyperlink ref="H144" r:id="rId31" xr:uid="{00000000-0004-0000-0000-00001E000000}"/>
    <hyperlink ref="H149" r:id="rId32" xr:uid="{00000000-0004-0000-0000-00001F000000}"/>
    <hyperlink ref="H154" r:id="rId33" xr:uid="{00000000-0004-0000-0000-000020000000}"/>
    <hyperlink ref="H155" r:id="rId34" xr:uid="{00000000-0004-0000-0000-000021000000}"/>
    <hyperlink ref="H165" r:id="rId35" xr:uid="{00000000-0004-0000-0000-000022000000}"/>
    <hyperlink ref="H170" r:id="rId36" xr:uid="{00000000-0004-0000-0000-000023000000}"/>
    <hyperlink ref="H171" r:id="rId37" xr:uid="{00000000-0004-0000-0000-000024000000}"/>
    <hyperlink ref="H172" r:id="rId38" xr:uid="{00000000-0004-0000-0000-000025000000}"/>
    <hyperlink ref="H176" r:id="rId39" xr:uid="{00000000-0004-0000-0000-000026000000}"/>
    <hyperlink ref="H179" r:id="rId40" xr:uid="{00000000-0004-0000-0000-000027000000}"/>
    <hyperlink ref="H181" r:id="rId41" xr:uid="{00000000-0004-0000-0000-000028000000}"/>
    <hyperlink ref="H184" r:id="rId42" xr:uid="{00000000-0004-0000-0000-000029000000}"/>
    <hyperlink ref="H203" r:id="rId43" xr:uid="{00000000-0004-0000-0000-00002A000000}"/>
    <hyperlink ref="H204" r:id="rId44" xr:uid="{00000000-0004-0000-0000-00002B000000}"/>
    <hyperlink ref="H205" r:id="rId45" xr:uid="{00000000-0004-0000-0000-00002C000000}"/>
    <hyperlink ref="H206" r:id="rId46" xr:uid="{00000000-0004-0000-0000-00002D000000}"/>
    <hyperlink ref="H214" r:id="rId47" xr:uid="{00000000-0004-0000-0000-00002E000000}"/>
    <hyperlink ref="H215" r:id="rId48" xr:uid="{00000000-0004-0000-0000-00002F000000}"/>
    <hyperlink ref="H219" r:id="rId49" xr:uid="{00000000-0004-0000-0000-000030000000}"/>
    <hyperlink ref="H221" r:id="rId50" xr:uid="{00000000-0004-0000-0000-000031000000}"/>
    <hyperlink ref="H223" r:id="rId51" xr:uid="{00000000-0004-0000-0000-000032000000}"/>
    <hyperlink ref="H234" r:id="rId52" xr:uid="{00000000-0004-0000-0000-000033000000}"/>
    <hyperlink ref="H241" r:id="rId53" xr:uid="{00000000-0004-0000-0000-000034000000}"/>
    <hyperlink ref="H244" r:id="rId54" xr:uid="{00000000-0004-0000-0000-000035000000}"/>
    <hyperlink ref="H257" r:id="rId55" xr:uid="{00000000-0004-0000-0000-000037000000}"/>
    <hyperlink ref="H259" r:id="rId56" xr:uid="{00000000-0004-0000-0000-000038000000}"/>
    <hyperlink ref="H260" r:id="rId57" xr:uid="{00000000-0004-0000-0000-000039000000}"/>
    <hyperlink ref="H263" r:id="rId58" xr:uid="{00000000-0004-0000-0000-00003A000000}"/>
    <hyperlink ref="H271" r:id="rId59" xr:uid="{00000000-0004-0000-0000-00003B000000}"/>
    <hyperlink ref="H288" r:id="rId60" xr:uid="{00000000-0004-0000-0000-00003C000000}"/>
    <hyperlink ref="H292" r:id="rId61" xr:uid="{00000000-0004-0000-0000-00003D000000}"/>
    <hyperlink ref="H28" r:id="rId62" xr:uid="{E110C02D-3DCA-4A49-80EB-1ACF08D1B241}"/>
    <hyperlink ref="H104" r:id="rId63" xr:uid="{04BEC489-A1BD-1448-A5A4-69023D7B9BA7}"/>
    <hyperlink ref="H121" r:id="rId64" xr:uid="{DAEC2D24-48E6-3446-B91E-FF0DF9B3AADB}"/>
    <hyperlink ref="H245" r:id="rId65" xr:uid="{D0D110B3-06FB-9349-BBAA-51F6CAA068C8}"/>
    <hyperlink ref="H285" r:id="rId66" xr:uid="{ADD91A8A-F2D1-E74B-BF2F-6F6B5084961E}"/>
    <hyperlink ref="H208" r:id="rId67" xr:uid="{7569ED52-915B-F149-908A-E6E279E89A14}"/>
    <hyperlink ref="H103" r:id="rId68" xr:uid="{AF65B187-8C8E-48BA-9C50-A2F8587AC4B0}"/>
    <hyperlink ref="H282" r:id="rId69" xr:uid="{E432F966-C0C8-4E76-9B8F-5974F5D7A30D}"/>
    <hyperlink ref="H140" r:id="rId70" xr:uid="{B5DEE9B3-9CD2-42E9-9747-72EC123C9875}"/>
    <hyperlink ref="H95" r:id="rId71" xr:uid="{A1B630B8-CFAB-4C79-8244-C3C2BE0ACC79}"/>
    <hyperlink ref="H258" r:id="rId72" xr:uid="{18058138-5E32-407E-81FC-43E615E6C4F7}"/>
  </hyperlinks>
  <pageMargins left="0.7" right="0.7" top="0.75" bottom="0.75" header="0.3" footer="0.3"/>
  <drawing r:id="rId73"/>
  <tableParts count="1">
    <tablePart r:id="rId7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Commonground Golf Club</cp:lastModifiedBy>
  <dcterms:modified xsi:type="dcterms:W3CDTF">2026-06-08T21:39:48Z</dcterms:modified>
</cp:coreProperties>
</file>